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6.xml" ContentType="application/vnd.openxmlformats-officedocument.spreadsheetml.table+xml"/>
  <Override PartName="/xl/worksheets/sheet13.xml" ContentType="application/vnd.openxmlformats-officedocument.spreadsheetml.worksheet+xml"/>
  <Override PartName="/xl/tables/table1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faeca7a199439f" /></Relationships>
</file>

<file path=xl/workbook.xml><?xml version="1.0" encoding="utf-8"?>
<workbook xmlns="http://schemas.openxmlformats.org/spreadsheetml/2006/main" xmlns:r="http://schemas.openxmlformats.org/officeDocument/2006/relationships">
  <sheets>
    <sheet name="物品" sheetId="1" r:id="Rb5e8e624341d4fd2"/>
    <sheet name="许可类型" sheetId="2" r:id="R09e6ddaa2b244405"/>
    <sheet name="配方" sheetId="3" r:id="R8485b0cdb05d4299"/>
    <sheet name="奖励箱" sheetId="4" r:id="R6c5b0df0d20b4431"/>
    <sheet name="进度" sheetId="5" r:id="Rca6d8c103a1c4211"/>
    <sheet name="后续设施" sheetId="6" r:id="R15ccc50ca964429a"/>
    <sheet name="船坞参数" sheetId="7" r:id="R81034ebfa063422b"/>
    <sheet name="船坞建造" sheetId="8" r:id="Rb23a42f9cd6d436e"/>
    <sheet name="设施注册" sheetId="9" r:id="R43f3c66de1964b1c"/>
    <sheet name="开发工厂参数" sheetId="10" r:id="R046fdb009d2c4c08"/>
    <sheet name="装备开发" sheetId="11" r:id="R9288c7f46ee64902"/>
    <sheet name="弹药生产线参数" sheetId="12" r:id="rId244406"/>
    <sheet name="弹药生产配方" sheetId="13" r:id="rId244407"/>
  </sheets>
</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%"/>
    <x:numFmt numFmtId="202" formatCode="0.0"/>
    <x:numFmt numFmtId="203" formatCode="0"/>
    <x:numFmt numFmtId="204" formatCode="[m]:ss"/>
  </x:numFmts>
  <x:fonts count="8">
    <x:font>
      <x:sz val="11"/>
      <x:name val="Carlito"/>
    </x:font>
    <x:font>
      <x:sz val="11"/>
      <x:color rgb="FF202020"/>
      <x:name val="宋体"/>
    </x:font>
    <x:font>
      <x:b/>
      <x:sz val="11"/>
      <x:color rgb="FF202020"/>
      <x:name val="宋体"/>
    </x:font>
    <x:font>
      <x:sz val="11"/>
      <x:color rgb="FF404040"/>
      <x:name val="宋体"/>
    </x:font>
    <x:font>
      <x:sz val="11"/>
      <x:name val="宋体"/>
    </x:font>
    <x:font>
      <x:sz val="11"/>
      <x:name val="Carlito"/>
    </x:font>
    <x:font>
      <x:sz val="11"/>
      <x:color rgb="FF202020"/>
      <x:name val="宋体"/>
    </x:font>
    <x:font>
      <x:b/>
      <x:sz val="11"/>
      <x:color rgb="FF202020"/>
      <x:name val="宋体"/>
    </x:font>
  </x:fonts>
  <x:fills count="7">
    <x:fill>
      <x:patternFill patternType="none"/>
    </x:fill>
    <x:fill>
      <x:patternFill patternType="gray125"/>
    </x:fill>
    <x:fill>
      <x:patternFill patternType="solid">
        <x:fgColor rgb="FFDDEBF7"/>
      </x:patternFill>
    </x:fill>
    <x:fill>
      <x:patternFill patternType="solid">
        <x:fgColor rgb="FFF3F6F9"/>
      </x:patternFill>
    </x:fill>
    <x:fill>
      <x:patternFill patternType="none"/>
    </x:fill>
    <x:fill>
      <x:patternFill patternType="gray125"/>
    </x:fill>
    <x:fill>
      <x:patternFill patternType="solid">
        <x:fgColor rgb="FFDDEBF7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8EA9C1"/>
      </x:bottom>
      <x:diagonal/>
    </x:border>
    <x:border>
      <x:left style="thin">
        <x:color rgb="FFA6B7C7"/>
      </x:left>
      <x:right style="thin">
        <x:color rgb="FFA6B7C7"/>
      </x:right>
      <x:top style="thin">
        <x:color rgb="FFA6B7C7"/>
      </x:top>
      <x:bottom style="thin">
        <x:color rgb="FFA6B7C7"/>
      </x:bottom>
      <x:diagonal/>
    </x:border>
    <x:border>
      <x:left/>
      <x:right/>
      <x:top/>
      <x:bottom/>
      <x:diagonal/>
    </x:border>
  </x:borders>
  <x:cellStyleXfs count="2">
    <x:xf numFmtId="0" fontId="0" fillId="0" borderId="0"/>
    <x:xf numFmtId="0" fontId="5" fillId="4" borderId="3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left" wrapText="1"/>
    </x:xf>
    <x:xf numFmtId="0" fontId="1" fillId="0" borderId="0" xfId="0" applyNumberFormat="1" applyFont="1" applyFill="1" applyBorder="1" applyAlignment="1">
      <x:alignment horizontal="left" vertical="top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2" fillId="2" borderId="0" xfId="0" applyNumberFormat="1" applyFont="1" applyFill="1" applyBorder="1" applyAlignment="1">
      <x:alignment horizontal="left" vertical="top" wrapText="1"/>
    </x:xf>
    <x:xf numFmtId="0" fontId="2" fillId="2" borderId="1" xfId="0" applyNumberFormat="1" applyFont="1" applyFill="1" applyBorder="1" applyAlignment="1">
      <x:alignment horizontal="left"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horizontal="left" vertical="top" wrapText="1"/>
    </x:xf>
    <x:xf numFmtId="200" fontId="1" fillId="0" borderId="0" xfId="0" applyNumberFormat="1" applyFont="1" applyFill="1" applyBorder="1" applyAlignment="1">
      <x:alignment horizontal="right" vertical="top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2" xfId="0" applyNumberFormat="1" applyFont="1" applyFill="1" applyBorder="1" applyAlignment="1">
      <x:alignment horizontal="center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left" vertical="top" wrapText="1"/>
    </x:xf>
    <x:xf numFmtId="202" fontId="1" fillId="0" borderId="0" xfId="0" applyNumberFormat="1" applyFont="1" applyFill="1" applyBorder="1" applyAlignment="1">
      <x:alignment horizontal="left" vertical="top" wrapText="1"/>
    </x:xf>
    <x:xf numFmtId="201" fontId="1" fillId="0" borderId="0" xfId="0" applyNumberFormat="1" applyFont="1" applyFill="1" applyBorder="1" applyAlignment="1">
      <x:alignment horizontal="right" vertical="top" wrapText="1"/>
    </x:xf>
    <x:xf numFmtId="202" fontId="1" fillId="0" borderId="0" xfId="0" applyNumberFormat="1" applyFont="1" applyFill="1" applyBorder="1" applyAlignment="1">
      <x:alignment horizontal="right" vertical="top" wrapText="1"/>
    </x:xf>
    <x:xf numFmtId="0" fontId="5" fillId="4" borderId="3" xfId="1"/>
    <x:xf numFmtId="0" fontId="5" fillId="4" borderId="3" xfId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4" borderId="3" xfId="1" applyNumberFormat="1" applyFont="1" applyFill="1" applyBorder="1"/>
    <x:xf numFmtId="0" fontId="6" fillId="4" borderId="3" xfId="1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4" borderId="3" xfId="1" applyNumberFormat="1" applyFont="1" applyFill="1" applyBorder="1" applyAlignment="1">
      <x:alignment vertical="center"/>
    </x:xf>
    <x:xf numFmtId="0" fontId="6" fillId="4" borderId="3" xfId="1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6" borderId="3" xfId="1" applyNumberFormat="1" applyFont="1" applyFill="1" applyBorder="1" applyAlignment="1">
      <x:alignment vertical="center"/>
    </x:xf>
    <x:xf numFmtId="0" fontId="7" fillId="6" borderId="3" xfId="1" applyNumberFormat="1" applyFont="1" applyFill="1" applyBorder="1" applyAlignment="1">
      <x:alignment vertical="center"/>
    </x:xf>
    <x:xf numFmtId="0" fontId="7" fillId="6" borderId="3" xfId="1" applyNumberFormat="1" applyFont="1" applyFill="1" applyBorder="1" applyAlignment="1">
      <x:alignment horizontal="center" vertical="center"/>
    </x:xf>
    <x:xf numFmtId="203" fontId="6" fillId="4" borderId="3" xfId="1" applyNumberFormat="1" applyFont="1" applyFill="1" applyBorder="1" applyAlignment="1">
      <x:alignment vertical="center"/>
    </x:xf>
    <x:xf numFmtId="204" fontId="6" fillId="4" borderId="3" xfId="1" applyNumberFormat="1" applyFont="1" applyFill="1" applyBorder="1" applyAlignment="1">
      <x:alignment vertical="center"/>
    </x:xf>
    <x:xf numFmtId="203" fontId="6" fillId="4" borderId="3" xfId="1" applyNumberFormat="1" applyFont="1" applyFill="1" applyBorder="1" applyAlignment="1">
      <x:alignment horizontal="right" vertical="center"/>
    </x:xf>
    <x:xf numFmtId="204" fontId="6" fillId="4" borderId="3" xfId="1" applyNumberFormat="1" applyFont="1" applyFill="1" applyBorder="1" applyAlignment="1">
      <x:alignment horizontal="right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<?xml version='1.0' encoding='utf-8'?>
<Relationships xmlns="http://schemas.openxmlformats.org/package/2006/relationships"><Relationship Type="http://schemas.openxmlformats.org/officeDocument/2006/relationships/styles" Target="/xl/styles.xml" Id="R3598809088c8413a" /><Relationship Type="http://schemas.openxmlformats.org/officeDocument/2006/relationships/theme" Target="/xl/theme/theme1.xml" Id="Rfc9d3685828c45ab" /><Relationship Type="http://schemas.microsoft.com/office/2022/11/relationships/FeaturePropertyBag" Target="/xl/featurePropertyBag/featurePropertyBag.xml" Id="R955f2dbe9cd242a3" /><Relationship Type="http://schemas.openxmlformats.org/officeDocument/2006/relationships/sharedStrings" Target="/xl/sharedStrings.xml" Id="Rc4e670f1671e425b" /><Relationship Type="http://schemas.openxmlformats.org/officeDocument/2006/relationships/worksheet" Target="/xl/worksheets/sheet1.xml" Id="Rb5e8e624341d4fd2" /><Relationship Type="http://schemas.openxmlformats.org/officeDocument/2006/relationships/worksheet" Target="/xl/worksheets/sheet2.xml" Id="R09e6ddaa2b244405" /><Relationship Type="http://schemas.openxmlformats.org/officeDocument/2006/relationships/worksheet" Target="/xl/worksheets/sheet3.xml" Id="R8485b0cdb05d4299" /><Relationship Type="http://schemas.openxmlformats.org/officeDocument/2006/relationships/worksheet" Target="/xl/worksheets/sheet4.xml" Id="R6c5b0df0d20b4431" /><Relationship Type="http://schemas.openxmlformats.org/officeDocument/2006/relationships/worksheet" Target="/xl/worksheets/sheet5.xml" Id="Rca6d8c103a1c4211" /><Relationship Type="http://schemas.openxmlformats.org/officeDocument/2006/relationships/worksheet" Target="/xl/worksheets/sheet6.xml" Id="R15ccc50ca964429a" /><Relationship Type="http://schemas.openxmlformats.org/officeDocument/2006/relationships/worksheet" Target="/xl/worksheets/sheet7.xml" Id="R81034ebfa063422b" /><Relationship Type="http://schemas.openxmlformats.org/officeDocument/2006/relationships/worksheet" Target="/xl/worksheets/sheet8.xml" Id="Rb23a42f9cd6d436e" /><Relationship Type="http://schemas.openxmlformats.org/officeDocument/2006/relationships/worksheet" Target="/xl/worksheets/sheet9.xml" Id="R43f3c66de1964b1c" /><Relationship Type="http://schemas.openxmlformats.org/officeDocument/2006/relationships/worksheet" Target="/xl/worksheets/sheet10.xml" Id="R046fdb009d2c4c08" /><Relationship Type="http://schemas.openxmlformats.org/officeDocument/2006/relationships/worksheet" Target="/xl/worksheets/sheet11.xml" Id="R9288c7f46ee64902" /><Relationship Id="rId244406" Type="http://schemas.openxmlformats.org/officeDocument/2006/relationships/worksheet" Target="worksheets/sheet12.xml" /><Relationship Id="rId244407" Type="http://schemas.openxmlformats.org/officeDocument/2006/relationships/worksheet" Target="worksheets/sheet13.xml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table xmlns="http://schemas.openxmlformats.org/spreadsheetml/2006/main" id="10" name="MilitaryItems" displayName="MilitaryItems" ref="A1:K15" headerRowCount="1" totalsRowCount="0" totalsRowShown="0">
  <autoFilter ref="A1:K15"/>
  <tableColumns count="11">
    <tableColumn id="1" name="zh_CN"/>
    <tableColumn id="2" name="en_US"/>
    <tableColumn id="3" name="class"/>
    <tableColumn id="4" name="id"/>
    <tableColumn id="5" name="properties"/>
    <tableColumn id="6" name="tag (vanilla)"/>
    <tableColumn id="7" name="tag (c:)"/>
    <tableColumn id="8" name="tag (this mod)"/>
    <tableColumn id="9" name="Loot"/>
    <tableColumn id="10" name="Recipes"/>
    <tableColumn id="11" name="状态"/>
  </tableColumns>
  <tableStyleInfo name="TableStyleLight9" showFirstColumn="0" showLastColumn="0" showRowStripes="1" showColumnStripes="0"/>
</table>
</file>

<file path=xl/tables/table2.xml><?xml version="1.0" encoding="utf-8"?>
<x:table xmlns:x="http://schemas.openxmlformats.org/spreadsheetml/2006/main" id="9" name="MilitaryPermissions" displayName="MilitaryPermissions" ref="A1:H25" headerRowCount="1" totalsRowCount="0" totalsRowShown="0">
  <x:autoFilter ref="A1:H25"/>
  <x:tableColumns count="8">
    <x:tableColumn id="1" name="家族"/>
    <x:tableColumn id="2" name="子类"/>
    <x:tableColumn id="3" name="许可名称"/>
    <x:tableColumn id="4" name="en_US"/>
    <x:tableColumn id="5" name="许可 ID（建议）"/>
    <x:tableColumn id="6" name="子类 ID（建议）"/>
    <x:tableColumn id="7" name="用途边界"/>
    <x:tableColumn id="8" name="状态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MilitaryRecipes" displayName="MilitaryRecipes" ref="A1:L5" headerRowCount="1" totalsRowCount="0" totalsRowShown="0">
  <x:autoFilter ref="A1:L5"/>
  <x:tableColumns count="12">
    <x:tableColumn id="1" name="名称"/>
    <x:tableColumn id="2" name="配方 ID（建议）"/>
    <x:tableColumn id="3" name="方式"/>
    <x:tableColumn id="4" name="图纸槽位（格）"/>
    <x:tableColumn id="5" name="每格消耗（张）"/>
    <x:tableColumn id="6" name="纸（张）"/>
    <x:tableColumn id="7" name="蓝染（个）"/>
    <x:tableColumn id="8" name="输出（张）"/>
    <x:tableColumn id="9" name="净增（张）"/>
    <x:tableColumn id="10" name="许可处理"/>
    <x:tableColumn id="11" name="排列 / 余留"/>
    <x:tableColumn id="12" name="状态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MilitaryLoot" displayName="MilitaryLoot" ref="A1:I3" headerRowCount="1" totalsRowCount="0" totalsRowShown="0">
  <x:autoFilter ref="A1:I3"/>
  <x:tableColumns count="9">
    <x:tableColumn id="1" name="来源"/>
    <x:tableColumn id="2" name="战利品表 ID"/>
    <x:tableColumn id="3" name="0张概率"/>
    <x:tableColumn id="4" name="1张概率"/>
    <x:tableColumn id="5" name="2张概率"/>
    <x:tableColumn id="6" name="平均数量（张）"/>
    <x:tableColumn id="7" name="单张内容"/>
    <x:tableColumn id="8" name="两张处理"/>
    <x:tableColumn id="9" name="状态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MilitaryAdvancements" displayName="MilitaryAdvancements" ref="A1:H3" headerRowCount="1" totalsRowCount="0" totalsRowShown="0">
  <x:autoFilter ref="A1:H3"/>
  <x:tableColumns count="8">
    <x:tableColumn id="1" name="进度"/>
    <x:tableColumn id="2" name="进度 ID（建议）"/>
    <x:tableColumn id="3" name="家族"/>
    <x:tableColumn id="4" name="许可目标数"/>
    <x:tableColumn id="5" name="累计方式"/>
    <x:tableColumn id="6" name="取得判定"/>
    <x:tableColumn id="7" name="不回退条件"/>
    <x:tableColumn id="8" name="状态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MilitaryFacilities" displayName="MilitaryFacilities" ref="A1:H4" headerRowCount="1" totalsRowCount="0" totalsRowShown="0">
  <x:autoFilter ref="A1:H4"/>
  <x:tableColumns count="8">
    <x:tableColumn id="1" name="zh_CN"/>
    <x:tableColumn id="2" name="en_US（暂定）"/>
    <x:tableColumn id="3" name="class"/>
    <x:tableColumn id="4" name="id"/>
    <x:tableColumn id="5" name="properties"/>
    <x:tableColumn id="6" name="图纸关系"/>
    <x:tableColumn id="7" name="Recipes"/>
    <x:tableColumn id="8" name="状态"/>
  </x:tableColumns>
  <x:tableStyleInfo name="TableStyleLight9" showFirstColumn="0" showLastColumn="0" showRowStripes="1" showColumnStripes="0"/>
</x:table>
</file>

<file path=xl/tables/table7.xml><?xml version="1.0" encoding="utf-8"?>
<table xmlns="http://schemas.openxmlformats.org/spreadsheetml/2006/main" id="7" name="ShipyardSettings" displayName="ShipyardSettings" ref="A1:F39" headerRowCount="1" totalsRowCount="0" totalsRowShown="0">
  <tableColumns count="6">
    <tableColumn id="1" name="参数ID"/>
    <tableColumn id="2" name="名称"/>
    <tableColumn id="3" name="数值／规则"/>
    <tableColumn id="4" name="单位"/>
    <tableColumn id="5" name="说明"/>
    <tableColumn id="6" name="状态"/>
  </tableColumns>
  <tableStyleInfo name="TableStyleLight9" showFirstColumn="0" showLastColumn="0" showRowStripes="1" showColumnStripes="0"/>
</table>
</file>

<file path=xl/tables/table8.xml><?xml version="1.0" encoding="utf-8"?>
<x:table xmlns:x="http://schemas.openxmlformats.org/spreadsheetml/2006/main" id="8" name="ShipyardCosts" displayName="ShipyardCosts" ref="A1:M13" headerRowCount="1" totalsRowCount="0" totalsRowShown="0">
  <x:tableColumns count="13">
    <x:tableColumn id="1" name="舰船ID"/>
    <x:tableColumn id="2" name="舰名"/>
    <x:tableColumn id="3" name="船型"/>
    <x:tableColumn id="4" name="舰种"/>
    <x:tableColumn id="5" name="燃油(mB)"/>
    <x:tableColumn id="6" name="弹药点"/>
    <x:tableColumn id="7" name="钢锭"/>
    <x:tableColumn id="8" name="铝锭"/>
    <x:tableColumn id="9" name="建造秒"/>
    <x:tableColumn id="10" name="进度tick"/>
    <x:tableColumn id="11" name="高爆弹等价枚数"/>
    <x:tableColumn id="12" name="建造分:秒"/>
    <x:tableColumn id="13" name="状态"/>
  </x:tableColumns>
  <x:tableStyleInfo name="TableStyleLight9" showFirstColumn="0" showLastColumn="0" showRowStripes="1" showColumnStripes="0"/>
</x:table>
</file>

<file path=xl/tables/table9.xml><?xml version="1.0" encoding="utf-8"?>
<table xmlns="http://schemas.openxmlformats.org/spreadsheetml/2006/main" id="15" name="MilitaryFacilityRegistrations" displayName="MilitaryFacilityRegistrations" ref="A1:F29" headerRowCount="1" totalsRowCount="0" totalsRowShown="0">
  <autoFilter ref="A1:F29"/>
  <tableColumns count="6">
    <tableColumn id="1" name="设施"/>
    <tableColumn id="2" name="注册表／接口"/>
    <tableColumn id="3" name="标识"/>
    <tableColumn id="4" name="类型／入口"/>
    <tableColumn id="5" name="参数与职责"/>
    <tableColumn id="6" name="状态"/>
  </tableColumns>
  <tableStyleInfo name="TableStyleLight9" showFirstColumn="0" showLastColumn="0" showRowStripes="1" showColumnStripes="0"/>
</table>
</file>

<file path=xl/tables/table10.xml><?xml version="1.0" encoding="utf-8"?>
<x:table xmlns:x="http://schemas.openxmlformats.org/spreadsheetml/2006/main" id="14" name="DevelopmentFactorySettings" displayName="DevelopmentFactorySettings" ref="A1:F49" headerRowCount="1" totalsRowCount="0" totalsRowShown="0">
  <x:autoFilter ref="A1:F49"/>
  <x:tableColumns count="6">
    <x:tableColumn id="1" name="参数ID"/>
    <x:tableColumn id="2" name="名称"/>
    <x:tableColumn id="3" name="数值／规则"/>
    <x:tableColumn id="4" name="单位"/>
    <x:tableColumn id="5" name="说明"/>
    <x:tableColumn id="6" name="状态"/>
  </x:tableColumns>
  <x:tableStyleInfo name="TableStyleLight9" showFirstColumn="0" showLastColumn="0" showRowStripes="1" showColumnStripes="0"/>
</x:table>
</file>

<file path=xl/tables/table11.xml><?xml version="1.0" encoding="utf-8"?>
<x:table xmlns:x="http://schemas.openxmlformats.org/spreadsheetml/2006/main" id="13" name="DevelopmentFactoryCosts" displayName="DevelopmentFactoryCosts" ref="A1:O24" headerRowCount="1" totalsRowCount="0" totalsRowShown="0">
  <x:autoFilter ref="A1:O24"/>
  <x:tableColumns count="15">
    <x:tableColumn id="1" name="产物标识"/>
    <x:tableColumn id="2" name="名称"/>
    <x:tableColumn id="3" name="分组"/>
    <x:tableColumn id="4" name="类别"/>
    <x:tableColumn id="5" name="产物类型"/>
    <x:tableColumn id="6" name="每次产量"/>
    <x:tableColumn id="7" name="图纸张数"/>
    <x:tableColumn id="8" name="燃油(mB)"/>
    <x:tableColumn id="9" name="弹药点"/>
    <x:tableColumn id="10" name="钢锭"/>
    <x:tableColumn id="11" name="铝锭"/>
    <x:tableColumn id="12" name="开发秒"/>
    <x:tableColumn id="13" name="进度tick"/>
    <x:tableColumn id="14" name="高爆弹等价枚数"/>
    <x:tableColumn id="15" name="状态"/>
  </x:tableColumns>
  <x:tableStyleInfo name="TableStyleLight9" showFirstColumn="0" showLastColumn="0" showRowStripes="1" showColumnStripes="0"/>
</x:table>
</file>

<file path=xl/tables/table16.xml><?xml version="1.0" encoding="utf-8"?>
<table xmlns="http://schemas.openxmlformats.org/spreadsheetml/2006/main" id="16" name="AmmunitionFactorySettings" displayName="AmmunitionFactorySettings" ref="A1:F44" totalsRowShown="0">
  <autoFilter ref="A1:F44"/>
  <tableColumns count="6">
    <tableColumn id="1" name="参数ID"/>
    <tableColumn id="2" name="名称"/>
    <tableColumn id="3" name="数值／规则"/>
    <tableColumn id="4" name="单位"/>
    <tableColumn id="5" name="说明"/>
    <tableColumn id="6" name="状态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AmmunitionProductionCosts" displayName="AmmunitionProductionCosts" ref="A1:N9" totalsRowShown="0">
  <autoFilter ref="A1:N9"/>
  <tableColumns count="14">
    <tableColumn id="1" name="产物标识"/>
    <tableColumn id="2" name="名称"/>
    <tableColumn id="3" name="类别"/>
    <tableColumn id="4" name="单次产量(枚)"/>
    <tableColumn id="5" name="铜粒"/>
    <tableColumn id="6" name="钢粒"/>
    <tableColumn id="7" name="铝粒"/>
    <tableColumn id="8" name="火药(个)"/>
    <tableColumn id="9" name="耗时(秒)"/>
    <tableColumn id="10" name="单枚点数"/>
    <tableColumn id="11" name="单批点数"/>
    <tableColumn id="12" name="进度tick"/>
    <tableColumn id="13" name="状态"/>
    <tableColumn id="14" name="说明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3ac0ae77e4e422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ae29844f3594c5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873fe64f1f047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d003ea68e9e427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a610cc1aa664d2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8150a492908498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bf6f41a40074ab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78d79c90d9ca45f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9f6e5af4e2c2485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4b64df956fa24c7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338bea9d625c42a0" /></Relationships>
</file>

<file path=xl/worksheets/_rels/sheet12.xml.rels><?xml version='1.0' encoding='utf-8'?>
<Relationships xmlns="http://schemas.openxmlformats.org/package/2006/relationships"><Relationship Id="rId1" Type="http://schemas.openxmlformats.org/officeDocument/2006/relationships/table" Target="../tables/table16.xml" /></Relationships>
</file>

<file path=xl/worksheets/_rels/sheet13.xml.rels><?xml version='1.0' encoding='utf-8'?>
<Relationships xmlns="http://schemas.openxmlformats.org/package/2006/relationships"><Relationship Id="rId1" Type="http://schemas.openxmlformats.org/officeDocument/2006/relationships/table" Target="../tables/table1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showGridLines="1" workbookViewId="0">
      <pane ySplit="1" topLeftCell="A2" activePane="bottomLeft" state="frozen"/>
    </sheetView>
  </sheetViews>
  <sheetFormatPr defaultRowHeight="15"/>
  <cols>
    <col min="1" max="1" width="22.729999542236328" hidden="0" customWidth="1"/>
    <col min="2" max="2" width="30" hidden="0" customWidth="1"/>
    <col min="3" max="3" width="27" hidden="0" customWidth="1"/>
    <col min="4" max="4" width="29" hidden="0" customWidth="1"/>
    <col min="5" max="5" width="55" hidden="0" customWidth="1"/>
    <col min="6" max="6" width="18" hidden="0" customWidth="1"/>
    <col min="7" max="7" width="18" hidden="0" customWidth="1"/>
    <col min="8" max="8" width="18" hidden="0" customWidth="1"/>
    <col min="9" max="9" width="47" hidden="0" customWidth="1"/>
    <col min="10" max="10" width="53" hidden="0" customWidth="1"/>
    <col min="11" max="11" width="14" hidden="0" customWidth="1"/>
  </cols>
  <sheetData>
    <row r="1" ht="34" customHeight="1">
      <c r="A1" s="9" t="str">
        <v>zh_CN</v>
      </c>
      <c r="B1" s="9" t="str">
        <v>en_US</v>
      </c>
      <c r="C1" s="9" t="str">
        <v>class</v>
      </c>
      <c r="D1" s="9" t="str">
        <v>id</v>
      </c>
      <c r="E1" s="9" t="str">
        <v>properties</v>
      </c>
      <c r="F1" s="9" t="str">
        <v>tag (vanilla)</v>
      </c>
      <c r="G1" s="9" t="str">
        <v>tag (c:)</v>
      </c>
      <c r="H1" s="9" t="str">
        <v>tag (this mod)</v>
      </c>
      <c r="I1" s="9" t="str">
        <v>Loot</v>
      </c>
      <c r="J1" s="9" t="str">
        <v>Recipes</v>
      </c>
      <c r="K1" s="9" t="str">
        <v>状态</v>
      </c>
    </row>
    <row r="2" ht="59" customHeight="1">
      <c r="A2" s="4" t="str">
        <v>舰船建造图纸</v>
      </c>
      <c r="B2" s="4" t="str">
        <v>Ship Blueprint</v>
      </c>
      <c r="C2" s="4" t="str">
        <v>SHIP_BLUEPRINT</v>
      </c>
      <c r="D2" s="4" t="str">
        <v>ship_blueprint</v>
      </c>
      <c r="E2" s="4" t="str">
        <v>堆叠64。不可变具体许可集合，家族由物品决定。单子类名称：大型船/中型船/小型船图纸；跨子类名称：舰船建造图纸。悬浮分类为大型/中型/小型，只列许可简称。</v>
      </c>
      <c r="F2" s="4" t="str">
        <v>—</v>
      </c>
      <c r="G2" s="4" t="str">
        <v>—</v>
      </c>
      <c r="H2" s="4" t="str">
        <v>—</v>
      </c>
      <c r="I2" s="4" t="str">
        <v>沉船财宝箱、埋藏宝藏；每张只含一个舰船子类的非空许可集合。</v>
      </c>
      <c r="J2" s="4" t="str">
        <v>合并：同家族2–4格各扣1张，固定产出1张许可并集图纸；有序扩展：1原图+1蓝染+7纸产8张，原图不返还。</v>
      </c>
      <c r="K2" s="4" t="str">
        <v>已实现</v>
      </c>
    </row>
    <row r="3" ht="59" customHeight="1">
      <c r="A3" s="4" t="str">
        <v>装备开发图纸</v>
      </c>
      <c r="B3" s="4" t="str">
        <v>Equipment Blueprint</v>
      </c>
      <c r="C3" s="4" t="str">
        <v>EQUIPMENT_BLUEPRINT</v>
      </c>
      <c r="D3" s="4" t="str">
        <v>equipment_blueprint</v>
      </c>
      <c r="E3" s="4" t="str">
        <v>堆叠64。不可变具体许可集合，家族由物品决定。单子类名称：武器/设备/飞机图纸；跨子类名称：装备开发图纸。悬浮说明只列可建造类型。</v>
      </c>
      <c r="F3" s="4" t="str">
        <v>—</v>
      </c>
      <c r="G3" s="4" t="str">
        <v>—</v>
      </c>
      <c r="H3" s="4" t="str">
        <v>—</v>
      </c>
      <c r="I3" s="4" t="str">
        <v>沉船财宝箱、埋藏宝藏；每张只含一个装备子类的非空许可集合。</v>
      </c>
      <c r="J3" s="4" t="str">
        <v>合并：同家族2–4格各扣1张，固定产出1张许可并集图纸；有序扩展：1原图+1蓝染+7纸产8张，原图不返还。</v>
      </c>
      <c r="K3" s="4" t="str">
        <v>已实现</v>
      </c>
    </row>
    <row r="4" ht="64" customHeight="1">
      <c r="A4" s="4" t="str">
        <v>船坞</v>
      </c>
      <c r="B4" s="4" t="str">
        <v>Shipyard</v>
      </c>
      <c r="C4" s="4" t="str">
        <v>SHIPYARD</v>
      </c>
      <c r="D4" s="4" t="str">
        <v>shipyard</v>
      </c>
      <c r="E4" s="4" t="str">
        <v>BlockItem；堆叠1；保存取消后的缓存、燃油和浏览状态，重放不恢复任务。</v>
      </c>
      <c r="F4" s="4" t="str">
        <v>—</v>
      </c>
      <c r="G4" s="4" t="str">
        <v>—</v>
      </c>
      <c r="H4" s="4" t="str">
        <v>—</v>
      </c>
      <c r="I4" s="4" t="str">
        <v>生存正确工具采集保留缓存；创造不掉船坞，缓存物品散落、燃油清除。</v>
      </c>
      <c r="J4" s="4" t="str">
        <v>4钢锭、2铝锭、2燃料桶、1工作台；SAS/BCB/SAS。</v>
      </c>
      <c r="K4" s="4" t="str">
        <v>已实现</v>
      </c>
    </row>
    <row r="5" ht="64" customHeight="1">
      <c r="A5" s="4" t="inlineStr">
        <is>
          <t>高爆弹</t>
        </is>
      </c>
      <c r="B5" s="4" t="inlineStr">
        <is>
          <t>High-Explosive Shell</t>
        </is>
      </c>
      <c r="C5" s="4" t="inlineStr">
        <is>
          <t>HIGH_EXPLOSIVE_SHELL</t>
        </is>
      </c>
      <c r="D5" s="4" t="inlineStr">
        <is>
          <t>high_explosive_shell</t>
        </is>
      </c>
      <c r="E5" s="4" t="inlineStr">
        <is>
          <t>堆叠64；每枚2点；固定弹种，无耐久或身份组件；点数仅制造界面显示。</t>
        </is>
      </c>
      <c r="F5" s="4" t="inlineStr">
        <is>
          <t>—</t>
        </is>
      </c>
      <c r="G5" s="4" t="inlineStr">
        <is>
          <t>—</t>
        </is>
      </c>
      <c r="H5" s="4" t="inlineStr">
        <is>
          <t>piranport:ammunition；piranport:ammunition/shells</t>
        </is>
      </c>
      <c r="I5" s="4" t="inlineStr">
        <is>
          <t>—</t>
        </is>
      </c>
      <c r="J5" s="4" t="inlineStr">
        <is>
          <t>弹药生产线每次加工费用见弹药生产配方页；制造点数全部通用，按缓存顺序扣料，取消返回原物。</t>
        </is>
      </c>
      <c r="K5" s="4" t="inlineStr">
        <is>
          <t>物品与生产已实现（0.1.103）；战斗未实现</t>
        </is>
      </c>
    </row>
    <row r="6" ht="64" customHeight="1">
      <c r="A6" s="4" t="inlineStr">
        <is>
          <t>穿甲弹</t>
        </is>
      </c>
      <c r="B6" s="4" t="inlineStr">
        <is>
          <t>Armor-Piercing Shell</t>
        </is>
      </c>
      <c r="C6" s="4" t="inlineStr">
        <is>
          <t>ARMOR_PIERCING_SHELL</t>
        </is>
      </c>
      <c r="D6" s="4" t="inlineStr">
        <is>
          <t>armor_piercing_shell</t>
        </is>
      </c>
      <c r="E6" s="4" t="inlineStr">
        <is>
          <t>堆叠64；每枚3点；固定弹种，无耐久或身份组件；点数仅制造界面显示。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piranport:ammunition；piranport:ammunition/shells</t>
        </is>
      </c>
      <c r="I6" s="4" t="inlineStr">
        <is>
          <t>—</t>
        </is>
      </c>
      <c r="J6" s="4" t="inlineStr">
        <is>
          <t>弹药生产线每次加工费用见弹药生产配方页；制造点数全部通用，按缓存顺序扣料，取消返回原物。</t>
        </is>
      </c>
      <c r="K6" s="4" t="inlineStr">
        <is>
          <t>物品与生产已实现（0.1.103）；战斗未实现</t>
        </is>
      </c>
    </row>
    <row r="7" ht="64" customHeight="1">
      <c r="A7" s="4" t="inlineStr">
        <is>
          <t>防空弹</t>
        </is>
      </c>
      <c r="B7" s="4" t="inlineStr">
        <is>
          <t>Anti-Aircraft Shell</t>
        </is>
      </c>
      <c r="C7" s="4" t="inlineStr">
        <is>
          <t>ANTI_AIRCRAFT_SHELL</t>
        </is>
      </c>
      <c r="D7" s="4" t="inlineStr">
        <is>
          <t>anti_aircraft_shell</t>
        </is>
      </c>
      <c r="E7" s="4" t="inlineStr">
        <is>
          <t>堆叠64；每枚3点；固定弹种，无耐久或身份组件；点数仅制造界面显示。</t>
        </is>
      </c>
      <c r="F7" s="4" t="inlineStr">
        <is>
          <t>—</t>
        </is>
      </c>
      <c r="G7" s="4" t="inlineStr">
        <is>
          <t>—</t>
        </is>
      </c>
      <c r="H7" s="4" t="inlineStr">
        <is>
          <t>piranport:ammunition；piranport:ammunition/shells</t>
        </is>
      </c>
      <c r="I7" s="4" t="inlineStr">
        <is>
          <t>—</t>
        </is>
      </c>
      <c r="J7" s="4" t="inlineStr">
        <is>
          <t>弹药生产线每次加工费用见弹药生产配方页；制造点数全部通用，按缓存顺序扣料，取消返回原物。</t>
        </is>
      </c>
      <c r="K7" s="4" t="inlineStr">
        <is>
          <t>物品与生产已实现（0.1.103）；战斗未实现</t>
        </is>
      </c>
    </row>
    <row r="8" ht="64" customHeight="1">
      <c r="A8" s="4" t="inlineStr">
        <is>
          <t>深水炸弹</t>
        </is>
      </c>
      <c r="B8" s="4" t="inlineStr">
        <is>
          <t>Depth Charge</t>
        </is>
      </c>
      <c r="C8" s="4" t="inlineStr">
        <is>
          <t>DEPTH_CHARGE</t>
        </is>
      </c>
      <c r="D8" s="4" t="inlineStr">
        <is>
          <t>depth_charge</t>
        </is>
      </c>
      <c r="E8" s="4" t="inlineStr">
        <is>
          <t>堆叠64；每枚1点；固定弹种，无耐久或身份组件；点数仅制造界面显示。</t>
        </is>
      </c>
      <c r="F8" s="4" t="inlineStr">
        <is>
          <t>—</t>
        </is>
      </c>
      <c r="G8" s="4" t="inlineStr">
        <is>
          <t>—</t>
        </is>
      </c>
      <c r="H8" s="4" t="inlineStr">
        <is>
          <t>piranport:ammunition；piranport:ammunition/depth_charges</t>
        </is>
      </c>
      <c r="I8" s="4" t="inlineStr">
        <is>
          <t>—</t>
        </is>
      </c>
      <c r="J8" s="4" t="inlineStr">
        <is>
          <t>弹药生产线每次加工费用见弹药生产配方页；制造点数全部通用，按缓存顺序扣料，取消返回原物。</t>
        </is>
      </c>
      <c r="K8" s="4" t="inlineStr">
        <is>
          <t>物品与生产已实现（0.1.103）；战斗未实现</t>
        </is>
      </c>
    </row>
    <row r="9" ht="64" customHeight="1">
      <c r="A9" s="4" t="inlineStr">
        <is>
          <t>直航鱼雷</t>
        </is>
      </c>
      <c r="B9" s="4" t="inlineStr">
        <is>
          <t>Straight-Running Torpedo</t>
        </is>
      </c>
      <c r="C9" s="4" t="inlineStr">
        <is>
          <t>STRAIGHT_RUNNING_TORPEDO</t>
        </is>
      </c>
      <c r="D9" s="4" t="inlineStr">
        <is>
          <t>straight_running_torpedo</t>
        </is>
      </c>
      <c r="E9" s="4" t="inlineStr">
        <is>
          <t>堆叠64；每枚3点；固定弹种，无耐久或身份组件；点数仅制造界面显示。</t>
        </is>
      </c>
      <c r="F9" s="4" t="inlineStr">
        <is>
          <t>—</t>
        </is>
      </c>
      <c r="G9" s="4" t="inlineStr">
        <is>
          <t>—</t>
        </is>
      </c>
      <c r="H9" s="4" t="inlineStr">
        <is>
          <t>piranport:ammunition；piranport:ammunition/torpedoes</t>
        </is>
      </c>
      <c r="I9" s="4" t="inlineStr">
        <is>
          <t>—</t>
        </is>
      </c>
      <c r="J9" s="4" t="inlineStr">
        <is>
          <t>弹药生产线每次加工费用见弹药生产配方页；制造点数全部通用，按缓存顺序扣料，取消返回原物。</t>
        </is>
      </c>
      <c r="K9" s="4" t="inlineStr">
        <is>
          <t>物品与生产已实现（0.1.103）；战斗未实现</t>
        </is>
      </c>
    </row>
    <row r="10" ht="64" customHeight="1">
      <c r="A10" s="4" t="inlineStr">
        <is>
          <t>制导鱼雷</t>
        </is>
      </c>
      <c r="B10" s="4" t="inlineStr">
        <is>
          <t>Guided Torpedo</t>
        </is>
      </c>
      <c r="C10" s="4" t="inlineStr">
        <is>
          <t>GUIDED_TORPEDO</t>
        </is>
      </c>
      <c r="D10" s="4" t="inlineStr">
        <is>
          <t>guided_torpedo</t>
        </is>
      </c>
      <c r="E10" s="4" t="inlineStr">
        <is>
          <t>堆叠64；每枚4点；固定弹种，无耐久或身份组件；点数仅制造界面显示。</t>
        </is>
      </c>
      <c r="F10" s="4" t="inlineStr">
        <is>
          <t>—</t>
        </is>
      </c>
      <c r="G10" s="4" t="inlineStr">
        <is>
          <t>—</t>
        </is>
      </c>
      <c r="H10" s="4" t="inlineStr">
        <is>
          <t>piranport:ammunition；piranport:ammunition/torpedoes</t>
        </is>
      </c>
      <c r="I10" s="4" t="inlineStr">
        <is>
          <t>—</t>
        </is>
      </c>
      <c r="J10" s="4" t="inlineStr">
        <is>
          <t>弹药生产线每次加工费用见弹药生产配方页；制造点数全部通用，按缓存顺序扣料，取消返回原物。</t>
        </is>
      </c>
      <c r="K10" s="4" t="inlineStr">
        <is>
          <t>物品与生产已实现（0.1.103）；战斗未实现</t>
        </is>
      </c>
    </row>
    <row r="11" ht="64" customHeight="1">
      <c r="A11" s="4" t="inlineStr">
        <is>
          <t>反舰导弹</t>
        </is>
      </c>
      <c r="B11" s="4" t="inlineStr">
        <is>
          <t>Anti-Ship Missile</t>
        </is>
      </c>
      <c r="C11" s="4" t="inlineStr">
        <is>
          <t>ANTI_SHIP_MISSILE</t>
        </is>
      </c>
      <c r="D11" s="4" t="inlineStr">
        <is>
          <t>anti_ship_missile</t>
        </is>
      </c>
      <c r="E11" s="4" t="inlineStr">
        <is>
          <t>堆叠64；每枚8点；固定弹种，无耐久或身份组件；点数仅制造界面显示。</t>
        </is>
      </c>
      <c r="F11" s="4" t="inlineStr">
        <is>
          <t>—</t>
        </is>
      </c>
      <c r="G11" s="4" t="inlineStr">
        <is>
          <t>—</t>
        </is>
      </c>
      <c r="H11" s="4" t="inlineStr">
        <is>
          <t>piranport:ammunition；piranport:ammunition/missiles</t>
        </is>
      </c>
      <c r="I11" s="4" t="inlineStr">
        <is>
          <t>—</t>
        </is>
      </c>
      <c r="J11" s="4" t="inlineStr">
        <is>
          <t>弹药生产线每次加工费用见弹药生产配方页；制造点数全部通用，按缓存顺序扣料，取消返回原物。</t>
        </is>
      </c>
      <c r="K11" s="4" t="inlineStr">
        <is>
          <t>物品与生产已实现（0.1.103）；战斗未实现</t>
        </is>
      </c>
    </row>
    <row r="12" ht="64" customHeight="1">
      <c r="A12" s="4" t="inlineStr">
        <is>
          <t>防空导弹</t>
        </is>
      </c>
      <c r="B12" s="4" t="inlineStr">
        <is>
          <t>Anti-Aircraft Missile</t>
        </is>
      </c>
      <c r="C12" s="4" t="inlineStr">
        <is>
          <t>ANTI_AIRCRAFT_MISSILE</t>
        </is>
      </c>
      <c r="D12" s="4" t="inlineStr">
        <is>
          <t>anti_aircraft_missile</t>
        </is>
      </c>
      <c r="E12" s="4" t="inlineStr">
        <is>
          <t>堆叠64；每枚6点；固定弹种，无耐久或身份组件；点数仅制造界面显示。</t>
        </is>
      </c>
      <c r="F12" s="4" t="inlineStr">
        <is>
          <t>—</t>
        </is>
      </c>
      <c r="G12" s="4" t="inlineStr">
        <is>
          <t>—</t>
        </is>
      </c>
      <c r="H12" s="4" t="inlineStr">
        <is>
          <t>piranport:ammunition；piranport:ammunition/missiles</t>
        </is>
      </c>
      <c r="I12" s="4" t="inlineStr">
        <is>
          <t>—</t>
        </is>
      </c>
      <c r="J12" s="4" t="inlineStr">
        <is>
          <t>弹药生产线每次加工费用见弹药生产配方页；制造点数全部通用，按缓存顺序扣料，取消返回原物。</t>
        </is>
      </c>
      <c r="K12" s="4" t="inlineStr">
        <is>
          <t>物品与生产已实现（0.1.103）；战斗未实现</t>
        </is>
      </c>
    </row>
    <row r="13" ht="64" customHeight="1">
      <c r="A13" s="4" t="str">
        <v>开发工厂</v>
      </c>
      <c r="B13" s="4" t="str">
        <v>Development Factory</v>
      </c>
      <c r="C13" s="4" t="str">
        <v>DEVELOPMENT_FACTORY</v>
      </c>
      <c r="D13" s="4" t="str">
        <v>development_factory</v>
      </c>
      <c r="E13" s="4" t="str">
        <v>BlockItem，堆叠1；单工位、12格材料、16000 mB燃油，维修标签锁定。</v>
      </c>
      <c r="F13" s="4" t="str">
        <v>—</v>
      </c>
      <c r="G13" s="4" t="str">
        <v>—</v>
      </c>
      <c r="H13" s="4" t="str">
        <v>—</v>
      </c>
      <c r="I13" s="4" t="str">
        <v>生存保留取消后缓存；创造不掉方块物品，物品散落、燃油清除。</v>
      </c>
      <c r="J13" s="4" t="str">
        <v>4钢锭、2铝锭、1空燃料桶、1工作台、1活塞；SAS/BCP/SAS。</v>
      </c>
      <c r="K13" s="4" t="str">
        <v>已实现</v>
      </c>
    </row>
    <row r="14" ht="64" customHeight="1">
      <c r="A14" t="str" s="4">
        <v>弹药生产线</v>
      </c>
      <c r="B14" t="str" s="4">
        <v>Ammunition Production Line</v>
      </c>
      <c r="C14" t="str" s="4">
        <v>AMMUNITION_FACTORY</v>
      </c>
      <c r="D14" t="str" s="4">
        <v>ammunition_factory</v>
      </c>
      <c r="E14" t="str" s="4">
        <v>BlockItem；堆叠1；8格原料和8格产物，只保存缓存，重放不恢复进度。</v>
      </c>
      <c r="F14" t="str" s="4">
        <v>—</v>
      </c>
      <c r="G14" t="str" s="4">
        <v>—</v>
      </c>
      <c r="H14" t="str" s="4">
        <v>—</v>
      </c>
      <c r="I14" t="str" s="4">
        <v>石镐及以上采集保存缓存；其他无机器掉落的移除散落缓存，不退在制投入。</v>
      </c>
      <c r="J14" t="str" s="4">
        <v>4钢锭、2铝锭、1铜锭、1活塞、1工作台；SCS/APA/SWS。</v>
      </c>
      <c r="K14" s="4" t="inlineStr">
        <is>
          <t>已实现（0.1.103）</t>
        </is>
      </c>
    </row>
    <row r="15" ht="64" customHeight="1">
      <c r="A15" s="4" t="str">
        <v>铜粒</v>
      </c>
      <c r="B15" s="4" t="str">
        <v>Copper Nugget</v>
      </c>
      <c r="C15" s="4" t="str">
        <v>COPPER_NUGGET</v>
      </c>
      <c r="D15" s="4" t="str">
        <v>copper_nugget</v>
      </c>
      <c r="E15" s="4" t="str">
        <v>普通材料；堆叠64；9粒折1锭，仅弹药生产线新增铜材准入。</v>
      </c>
      <c r="F15" s="4" t="str">
        <v>—</v>
      </c>
      <c r="G15" s="4" t="str">
        <v>c:nuggets/copper</v>
      </c>
      <c r="H15" s="4" t="str">
        <v>—</v>
      </c>
      <c r="I15" s="4" t="str">
        <v>—</v>
      </c>
      <c r="J15" s="4" t="str">
        <v>1铜锭拆9铜粒；9铜粒合1原版铜锭；铜块沿用原版拆合。</v>
      </c>
      <c r="K15" s="4" t="inlineStr">
        <is>
          <t>已实现（0.1.103）</t>
        </is>
      </c>
    </row>
    <row r="17" ht="42" customHeight="1">
      <c r="A17" s="12" t="str">
        <v>规则来源</v>
      </c>
      <c r="B17" s="12" t="str">
        <v>蓝图见3.2.1，船坞见3.2.2，开发工厂见3.2.3；弹药物品与生产线分别见3.2.4两份实现方案。</v>
      </c>
      <c r="C17" s="12"/>
      <c r="D17" s="12"/>
      <c r="E17" s="12"/>
      <c r="F17" s="12"/>
      <c r="G17" s="12"/>
      <c r="H17" s="12"/>
      <c r="I17" s="12"/>
      <c r="J17" s="12"/>
      <c r="K17" s="12"/>
    </row>
    <row r="18" ht="42" customHeight="1">
      <c r="A18" s="12" t="str">
        <v>状态口径</v>
      </c>
      <c r="B18" s="12" t="inlineStr">
        <is>
          <t>当前0.1.105；八弹种、生产线、八配方及铜粒拆合已实现；战斗未实现。</t>
        </is>
      </c>
      <c r="C18" s="12"/>
      <c r="D18" s="12"/>
      <c r="E18" s="12"/>
      <c r="F18" s="12"/>
      <c r="G18" s="12"/>
      <c r="H18" s="12"/>
      <c r="I18" s="12"/>
      <c r="J18" s="12"/>
      <c r="K18" s="12"/>
    </row>
    <row r="19" ht="42" customHeight="1">
      <c r="A19" s="12" t="str">
        <v>共同行为</v>
      </c>
      <c r="B19" s="12" t="str">
        <v>图纸不绑定玩家，每项完成任务消耗1张；工厂快修每次产8个，其余产1件。扩展保留名称，合并仅同名时保留；不保存个人制造解锁。</v>
      </c>
      <c r="C19" s="12"/>
      <c r="D19" s="12"/>
      <c r="E19" s="12"/>
      <c r="F19" s="12"/>
      <c r="G19" s="12"/>
      <c r="H19" s="12"/>
      <c r="I19" s="12"/>
      <c r="J19" s="12"/>
      <c r="K19" s="12"/>
    </row>
  </sheetData>
  <mergeCells>
    <mergeCell ref="B17:K17"/>
    <mergeCell ref="B18:K18"/>
    <mergeCell ref="B19:K19"/>
  </mergeCells>
  <pageMargins left="0.7" right="0.7" top="0.75" bottom="0.75" header="0.3" footer="0.3"/>
  <tableParts count="1">
    <tablePart r:id="R63ac0ae77e4e4223"/>
  </tableParts>
</worksheet>
</file>

<file path=xl/worksheets/sheet2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18" hidden="0" customWidth="1"/>
    <x:col min="4" max="4" width="28" hidden="0" customWidth="1"/>
    <x:col min="5" max="5" width="51" hidden="0" customWidth="1"/>
    <x:col min="6" max="6" width="31" hidden="0" customWidth="1"/>
    <x:col min="7" max="7" width="52" hidden="0" customWidth="1"/>
    <x:col min="8" max="8" width="14" hidden="0" customWidth="1"/>
  </x:cols>
  <x:sheetData>
    <x:row r="1" ht="34" customHeight="1">
      <x:c r="A1" s="9" t="str">
        <x:v>家族</x:v>
      </x:c>
      <x:c r="B1" s="9" t="str">
        <x:v>子类</x:v>
      </x:c>
      <x:c r="C1" s="9" t="str">
        <x:v>许可名称</x:v>
      </x:c>
      <x:c r="D1" s="9" t="str">
        <x:v>en_US</x:v>
      </x:c>
      <x:c r="E1" s="9" t="str">
        <x:v>许可 ID（建议）</x:v>
      </x:c>
      <x:c r="F1" s="9" t="str">
        <x:v>子类 ID（建议）</x:v>
      </x:c>
      <x:c r="G1" s="9" t="str">
        <x:v>用途边界</x:v>
      </x:c>
      <x:c r="H1" s="9" t="str">
        <x:v>状态</x:v>
      </x:c>
    </x:row>
    <x:row r="2" ht="30" customHeight="1">
      <x:c r="A2" s="4" t="str">
        <x:v>舰船</x:v>
      </x:c>
      <x:c r="B2" s="4" t="str">
        <x:v>大型</x:v>
      </x:c>
      <x:c r="C2" s="4" t="str">
        <x:v>战列</x:v>
      </x:c>
      <x:c r="D2" s="4" t="str">
        <x:v>Battleship</x:v>
      </x:c>
      <x:c r="E2" s="4" t="str">
        <x:v>piranport:ship/battleship</x:v>
      </x:c>
      <x:c r="F2" s="4" t="str">
        <x:v>piranport:ship/large</x:v>
      </x:c>
      <x:c r="G2" s="4" t="str">
        <x:v>中文全称：战列舰。包含该舰种的导弹化发展。</x:v>
      </x:c>
      <x:c r="H2" s="4" t="str">
        <x:v>已实现</x:v>
      </x:c>
    </x:row>
    <x:row r="3" ht="30" customHeight="1">
      <x:c r="A3" s="4" t="str">
        <x:v>舰船</x:v>
      </x:c>
      <x:c r="B3" s="4" t="str">
        <x:v>大型</x:v>
      </x:c>
      <x:c r="C3" s="4" t="str">
        <x:v>战巡</x:v>
      </x:c>
      <x:c r="D3" s="4" t="str">
        <x:v>Battlecruiser</x:v>
      </x:c>
      <x:c r="E3" s="4" t="str">
        <x:v>piranport:ship/battlecruiser</x:v>
      </x:c>
      <x:c r="F3" s="4" t="str">
        <x:v>piranport:ship/large</x:v>
      </x:c>
      <x:c r="G3" s="4" t="str">
        <x:v>中文全称：战列巡洋舰。包含该舰种的导弹化发展。</x:v>
      </x:c>
      <x:c r="H3" s="4" t="str">
        <x:v>已实现</x:v>
      </x:c>
    </x:row>
    <x:row r="4" ht="30" customHeight="1">
      <x:c r="A4" s="4" t="str">
        <x:v>舰船</x:v>
      </x:c>
      <x:c r="B4" s="4" t="str">
        <x:v>大型</x:v>
      </x:c>
      <x:c r="C4" s="4" t="str">
        <x:v>航母</x:v>
      </x:c>
      <x:c r="D4" s="4" t="str">
        <x:v>Aircraft Carrier</x:v>
      </x:c>
      <x:c r="E4" s="4" t="str">
        <x:v>piranport:ship/aircraft_carrier</x:v>
      </x:c>
      <x:c r="F4" s="4" t="str">
        <x:v>piranport:ship/large</x:v>
      </x:c>
      <x:c r="G4" s="4" t="str">
        <x:v>中文全称：航空母舰。舰船许可，不等同于飞机许可。</x:v>
      </x:c>
      <x:c r="H4" s="4" t="str">
        <x:v>已实现</x:v>
      </x:c>
    </x:row>
    <x:row r="5" ht="30" customHeight="1">
      <x:c r="A5" s="4" t="str">
        <x:v>舰船</x:v>
      </x:c>
      <x:c r="B5" s="4" t="str">
        <x:v>中型</x:v>
      </x:c>
      <x:c r="C5" s="4" t="str">
        <x:v>重巡</x:v>
      </x:c>
      <x:c r="D5" s="4" t="str">
        <x:v>Heavy Cruiser</x:v>
      </x:c>
      <x:c r="E5" s="4" t="str">
        <x:v>piranport:ship/heavy_cruiser</x:v>
      </x:c>
      <x:c r="F5" s="4" t="str">
        <x:v>piranport:ship/medium</x:v>
      </x:c>
      <x:c r="G5" s="4" t="str">
        <x:v>中文全称：重巡洋舰。包含该舰种的导弹化发展。</x:v>
      </x:c>
      <x:c r="H5" s="4" t="str">
        <x:v>已实现</x:v>
      </x:c>
    </x:row>
    <x:row r="6" ht="30" customHeight="1">
      <x:c r="A6" s="4" t="str">
        <x:v>舰船</x:v>
      </x:c>
      <x:c r="B6" s="4" t="str">
        <x:v>中型</x:v>
      </x:c>
      <x:c r="C6" s="4" t="str">
        <x:v>轻母</x:v>
      </x:c>
      <x:c r="D6" s="4" t="str">
        <x:v>Light Aircraft Carrier</x:v>
      </x:c>
      <x:c r="E6" s="4" t="str">
        <x:v>piranport:ship/light_aircraft_carrier</x:v>
      </x:c>
      <x:c r="F6" s="4" t="str">
        <x:v>piranport:ship/medium</x:v>
      </x:c>
      <x:c r="G6" s="4" t="str">
        <x:v>中文全称：轻型航空母舰。舰船许可，不等同于飞机许可。</x:v>
      </x:c>
      <x:c r="H6" s="4" t="str">
        <x:v>已实现</x:v>
      </x:c>
    </x:row>
    <x:row r="7" ht="30" customHeight="1">
      <x:c r="A7" s="4" t="str">
        <x:v>舰船</x:v>
      </x:c>
      <x:c r="B7" s="4" t="str">
        <x:v>中型</x:v>
      </x:c>
      <x:c r="C7" s="4" t="str">
        <x:v>轻巡</x:v>
      </x:c>
      <x:c r="D7" s="4" t="str">
        <x:v>Light Cruiser</x:v>
      </x:c>
      <x:c r="E7" s="4" t="str">
        <x:v>piranport:ship/light_cruiser</x:v>
      </x:c>
      <x:c r="F7" s="4" t="str">
        <x:v>piranport:ship/medium</x:v>
      </x:c>
      <x:c r="G7" s="4" t="str">
        <x:v>中文全称：轻巡洋舰。包含该舰种的导弹化发展。</x:v>
      </x:c>
      <x:c r="H7" s="4" t="str">
        <x:v>已实现</x:v>
      </x:c>
    </x:row>
    <x:row r="8" ht="30" customHeight="1">
      <x:c r="A8" s="4" t="str">
        <x:v>舰船</x:v>
      </x:c>
      <x:c r="B8" s="4" t="str">
        <x:v>小型</x:v>
      </x:c>
      <x:c r="C8" s="4" t="str">
        <x:v>重炮</x:v>
      </x:c>
      <x:c r="D8" s="4" t="str">
        <x:v>Monitor</x:v>
      </x:c>
      <x:c r="E8" s="4" t="str">
        <x:v>piranport:ship/monitor</x:v>
      </x:c>
      <x:c r="F8" s="4" t="str">
        <x:v>piranport:ship/small</x:v>
      </x:c>
      <x:c r="G8" s="4" t="str">
        <x:v>中文全称：浅水重炮舰。舰种“重炮”，不等同于主炮武器。</x:v>
      </x:c>
      <x:c r="H8" s="4" t="str">
        <x:v>已实现</x:v>
      </x:c>
    </x:row>
    <x:row r="9" ht="30" customHeight="1">
      <x:c r="A9" s="4" t="str">
        <x:v>舰船</x:v>
      </x:c>
      <x:c r="B9" s="4" t="str">
        <x:v>小型</x:v>
      </x:c>
      <x:c r="C9" s="4" t="str">
        <x:v>驱逐</x:v>
      </x:c>
      <x:c r="D9" s="4" t="str">
        <x:v>Destroyer</x:v>
      </x:c>
      <x:c r="E9" s="4" t="str">
        <x:v>piranport:ship/destroyer</x:v>
      </x:c>
      <x:c r="F9" s="4" t="str">
        <x:v>piranport:ship/small</x:v>
      </x:c>
      <x:c r="G9" s="4" t="str">
        <x:v>中文全称：驱逐舰。包含该舰种的导弹化发展。</x:v>
      </x:c>
      <x:c r="H9" s="4" t="str">
        <x:v>已实现</x:v>
      </x:c>
    </x:row>
    <x:row r="10" ht="30" customHeight="1">
      <x:c r="A10" s="4" t="str">
        <x:v>舰船</x:v>
      </x:c>
      <x:c r="B10" s="4" t="str">
        <x:v>小型</x:v>
      </x:c>
      <x:c r="C10" s="4" t="str">
        <x:v>潜艇</x:v>
      </x:c>
      <x:c r="D10" s="4" t="str">
        <x:v>Submarine</x:v>
      </x:c>
      <x:c r="E10" s="4" t="str">
        <x:v>piranport:ship/submarine</x:v>
      </x:c>
      <x:c r="F10" s="4" t="str">
        <x:v>piranport:ship/small</x:v>
      </x:c>
      <x:c r="G10" s="4" t="str">
        <x:v>中文全称：潜水艇。潜艇、潜水艇为同义名称。</x:v>
      </x:c>
      <x:c r="H10" s="4" t="str">
        <x:v>已实现</x:v>
      </x:c>
    </x:row>
    <x:row r="11" ht="30" customHeight="1">
      <x:c r="A11" s="4" t="str">
        <x:v>装备</x:v>
      </x:c>
      <x:c r="B11" s="4" t="str">
        <x:v>武器</x:v>
      </x:c>
      <x:c r="C11" s="4" t="str">
        <x:v>主炮</x:v>
      </x:c>
      <x:c r="D11" s="4" t="str">
        <x:v>Main Gun</x:v>
      </x:c>
      <x:c r="E11" s="4" t="str">
        <x:v>piranport:equipment/main_gun</x:v>
      </x:c>
      <x:c r="F11" s="4" t="str">
        <x:v>piranport:equipment/weapon</x:v>
      </x:c>
      <x:c r="G11" s="4" t="str">
        <x:v>制造武器，不包含炮弹弹药。</x:v>
      </x:c>
      <x:c r="H11" s="4" t="str">
        <x:v>已实现</x:v>
      </x:c>
    </x:row>
    <x:row r="12" ht="30" customHeight="1">
      <x:c r="A12" s="4" t="str">
        <x:v>装备</x:v>
      </x:c>
      <x:c r="B12" s="4" t="str">
        <x:v>武器</x:v>
      </x:c>
      <x:c r="C12" s="4" t="str">
        <x:v>鱼雷发射器</x:v>
      </x:c>
      <x:c r="D12" s="4" t="str">
        <x:v>Torpedo Launcher</x:v>
      </x:c>
      <x:c r="E12" s="4" t="str">
        <x:v>piranport:equipment/torpedo_launcher</x:v>
      </x:c>
      <x:c r="F12" s="4" t="str">
        <x:v>piranport:equipment/weapon</x:v>
      </x:c>
      <x:c r="G12" s="4" t="str">
        <x:v>发射器留在武器槽中，鱼雷属于独立弹药。</x:v>
      </x:c>
      <x:c r="H12" s="4" t="str">
        <x:v>已实现</x:v>
      </x:c>
    </x:row>
    <x:row r="13" ht="30" customHeight="1">
      <x:c r="A13" s="4" t="str">
        <x:v>装备</x:v>
      </x:c>
      <x:c r="B13" s="4" t="str">
        <x:v>武器</x:v>
      </x:c>
      <x:c r="C13" s="4" t="str">
        <x:v>深弹投射器</x:v>
      </x:c>
      <x:c r="D13" s="4" t="str">
        <x:v>Depth Charge Projector</x:v>
      </x:c>
      <x:c r="E13" s="4" t="str">
        <x:v>piranport:equipment/depth_charge_projector</x:v>
      </x:c>
      <x:c r="F13" s="4" t="str">
        <x:v>piranport:equipment/weapon</x:v>
      </x:c>
      <x:c r="G13" s="4" t="str">
        <x:v>制造投射装置，不自动授权深弹弹药。</x:v>
      </x:c>
      <x:c r="H13" s="4" t="str">
        <x:v>已实现</x:v>
      </x:c>
    </x:row>
    <x:row r="14" ht="30" customHeight="1">
      <x:c r="A14" s="4" t="str">
        <x:v>装备</x:v>
      </x:c>
      <x:c r="B14" s="4" t="str">
        <x:v>武器</x:v>
      </x:c>
      <x:c r="C14" s="4" t="str">
        <x:v>导弹发射器</x:v>
      </x:c>
      <x:c r="D14" s="4" t="str">
        <x:v>Missile Launcher</x:v>
      </x:c>
      <x:c r="E14" s="4" t="str">
        <x:v>piranport:equipment/missile_launcher</x:v>
      </x:c>
      <x:c r="F14" s="4" t="str">
        <x:v>piranport:equipment/weapon</x:v>
      </x:c>
      <x:c r="G14" s="4" t="str">
        <x:v>导弹发射器留在武器槽中，导弹属于独立弹药。</x:v>
      </x:c>
      <x:c r="H14" s="4" t="str">
        <x:v>已实现</x:v>
      </x:c>
    </x:row>
    <x:row r="15" ht="30" customHeight="1">
      <x:c r="A15" s="4" t="str">
        <x:v>装备</x:v>
      </x:c>
      <x:c r="B15" s="4" t="str">
        <x:v>设备</x:v>
      </x:c>
      <x:c r="C15" s="4" t="str">
        <x:v>装甲</x:v>
      </x:c>
      <x:c r="D15" s="4" t="str">
        <x:v>Armor</x:v>
      </x:c>
      <x:c r="E15" s="4" t="str">
        <x:v>piranport:equipment/armor</x:v>
      </x:c>
      <x:c r="F15" s="4" t="str">
        <x:v>piranport:equipment/device</x:v>
      </x:c>
      <x:c r="G15" s="4" t="str">
        <x:v>被动提升装置。</x:v>
      </x:c>
      <x:c r="H15" s="4" t="str">
        <x:v>已实现</x:v>
      </x:c>
    </x:row>
    <x:row r="16" ht="30" customHeight="1">
      <x:c r="A16" s="4" t="str">
        <x:v>装备</x:v>
      </x:c>
      <x:c r="B16" s="4" t="str">
        <x:v>设备</x:v>
      </x:c>
      <x:c r="C16" s="4" t="str">
        <x:v>动力系统</x:v>
      </x:c>
      <x:c r="D16" s="4" t="str">
        <x:v>Propulsion System</x:v>
      </x:c>
      <x:c r="E16" s="4" t="str">
        <x:v>piranport:equipment/propulsion_system</x:v>
      </x:c>
      <x:c r="F16" s="4" t="str">
        <x:v>piranport:equipment/device</x:v>
      </x:c>
      <x:c r="G16" s="4" t="str">
        <x:v>被动提升装置。</x:v>
      </x:c>
      <x:c r="H16" s="4" t="str">
        <x:v>已实现</x:v>
      </x:c>
    </x:row>
    <x:row r="17" ht="30" customHeight="1">
      <x:c r="A17" s="4" t="str">
        <x:v>装备</x:v>
      </x:c>
      <x:c r="B17" s="4" t="str">
        <x:v>设备</x:v>
      </x:c>
      <x:c r="C17" s="4" t="str">
        <x:v>雷达</x:v>
      </x:c>
      <x:c r="D17" s="4" t="str">
        <x:v>Radar</x:v>
      </x:c>
      <x:c r="E17" s="4" t="str">
        <x:v>piranport:equipment/radar</x:v>
      </x:c>
      <x:c r="F17" s="4" t="str">
        <x:v>piranport:equipment/device</x:v>
      </x:c>
      <x:c r="G17" s="4" t="str">
        <x:v>被动提升装置。</x:v>
      </x:c>
      <x:c r="H17" s="4" t="str">
        <x:v>已实现</x:v>
      </x:c>
    </x:row>
    <x:row r="18" ht="30" customHeight="1">
      <x:c r="A18" s="4" t="str">
        <x:v>装备</x:v>
      </x:c>
      <x:c r="B18" s="4" t="str">
        <x:v>设备</x:v>
      </x:c>
      <x:c r="C18" s="4" t="str">
        <x:v>声呐</x:v>
      </x:c>
      <x:c r="D18" s="4" t="str">
        <x:v>Sonar</x:v>
      </x:c>
      <x:c r="E18" s="4" t="str">
        <x:v>piranport:equipment/sonar</x:v>
      </x:c>
      <x:c r="F18" s="4" t="str">
        <x:v>piranport:equipment/device</x:v>
      </x:c>
      <x:c r="G18" s="4" t="str">
        <x:v>被动提升装置。</x:v>
      </x:c>
      <x:c r="H18" s="4" t="str">
        <x:v>已实现</x:v>
      </x:c>
    </x:row>
    <x:row r="19" ht="30" customHeight="1">
      <x:c r="A19" s="4" t="str">
        <x:v>装备</x:v>
      </x:c>
      <x:c r="B19" s="4" t="str">
        <x:v>设备</x:v>
      </x:c>
      <x:c r="C19" s="4" t="str">
        <x:v>快修</x:v>
      </x:c>
      <x:c r="D19" s="4" t="str">
        <x:v>Quick Repair</x:v>
      </x:c>
      <x:c r="E19" s="4" t="str">
        <x:v>piranport:equipment/quick_repair</x:v>
      </x:c>
      <x:c r="F19" s="4" t="str">
        <x:v>piranport:equipment/device</x:v>
      </x:c>
      <x:c r="G19" s="4" t="str">
        <x:v>设备消耗品许可；计划每次产8个，物品及设备栏堆叠64，无耐久；调整待实现。</x:v>
      </x:c>
      <x:c r="H19" s="4" t="str">
        <x:v>已实现</x:v>
      </x:c>
    </x:row>
    <x:row r="20" ht="30" customHeight="1">
      <x:c r="A20" s="4" t="str">
        <x:v>装备</x:v>
      </x:c>
      <x:c r="B20" s="4" t="str">
        <x:v>设备</x:v>
      </x:c>
      <x:c r="C20" s="4" t="str">
        <x:v>损管</x:v>
      </x:c>
      <x:c r="D20" s="4" t="str">
        <x:v>Damage Control</x:v>
      </x:c>
      <x:c r="E20" s="4" t="str">
        <x:v>piranport:equipment/damage_control</x:v>
      </x:c>
      <x:c r="F20" s="4" t="str">
        <x:v>piranport:equipment/device</x:v>
      </x:c>
      <x:c r="G20" s="4" t="str">
        <x:v>设备消耗品许可；每次产1个，物品及设备栏堆叠16，无耐久；调整待实现。</x:v>
      </x:c>
      <x:c r="H20" s="4" t="str">
        <x:v>已实现</x:v>
      </x:c>
    </x:row>
    <x:row r="21" ht="30" customHeight="1">
      <x:c r="A21" s="4" t="str">
        <x:v>装备</x:v>
      </x:c>
      <x:c r="B21" s="4" t="str">
        <x:v>飞机</x:v>
      </x:c>
      <x:c r="C21" s="4" t="str">
        <x:v>战斗机</x:v>
      </x:c>
      <x:c r="D21" s="4" t="str">
        <x:v>Fighter</x:v>
      </x:c>
      <x:c r="E21" s="4" t="str">
        <x:v>piranport:equipment/fighter</x:v>
      </x:c>
      <x:c r="F21" s="4" t="str">
        <x:v>piranport:equipment/aircraft</x:v>
      </x:c>
      <x:c r="G21" s="4" t="str">
        <x:v>部署为实体时腾空武器槽，返航后恢复飞机物品。</x:v>
      </x:c>
      <x:c r="H21" s="4" t="str">
        <x:v>已实现</x:v>
      </x:c>
    </x:row>
    <x:row r="22" ht="30" customHeight="1">
      <x:c r="A22" s="4" t="str">
        <x:v>装备</x:v>
      </x:c>
      <x:c r="B22" s="4" t="str">
        <x:v>飞机</x:v>
      </x:c>
      <x:c r="C22" s="4" t="str">
        <x:v>轰炸机</x:v>
      </x:c>
      <x:c r="D22" s="4" t="str">
        <x:v>Bomber</x:v>
      </x:c>
      <x:c r="E22" s="4" t="str">
        <x:v>piranport:equipment/bomber</x:v>
      </x:c>
      <x:c r="F22" s="4" t="str">
        <x:v>piranport:equipment/aircraft</x:v>
      </x:c>
      <x:c r="G22" s="4" t="str">
        <x:v>部署为实体时腾空武器槽，返航后恢复飞机物品。</x:v>
      </x:c>
      <x:c r="H22" s="4" t="str">
        <x:v>已实现</x:v>
      </x:c>
    </x:row>
    <x:row r="23" ht="30" customHeight="1">
      <x:c r="A23" s="4" t="str">
        <x:v>装备</x:v>
      </x:c>
      <x:c r="B23" s="4" t="str">
        <x:v>飞机</x:v>
      </x:c>
      <x:c r="C23" s="4" t="str">
        <x:v>鱼雷机</x:v>
      </x:c>
      <x:c r="D23" s="4" t="str">
        <x:v>Torpedo Bomber</x:v>
      </x:c>
      <x:c r="E23" s="4" t="str">
        <x:v>piranport:equipment/torpedo_bomber</x:v>
      </x:c>
      <x:c r="F23" s="4" t="str">
        <x:v>piranport:equipment/aircraft</x:v>
      </x:c>
      <x:c r="G23" s="4" t="str">
        <x:v>飞机许可，不等同于鱼雷发射器或鱼雷弹药。</x:v>
      </x:c>
      <x:c r="H23" s="4" t="str">
        <x:v>已实现</x:v>
      </x:c>
    </x:row>
    <x:row r="24" ht="30" customHeight="1">
      <x:c r="A24" s="4" t="str">
        <x:v>装备</x:v>
      </x:c>
      <x:c r="B24" s="4" t="str">
        <x:v>飞机</x:v>
      </x:c>
      <x:c r="C24" s="4" t="str">
        <x:v>侦察机</x:v>
      </x:c>
      <x:c r="D24" s="4" t="str">
        <x:v>Reconnaissance Aircraft</x:v>
      </x:c>
      <x:c r="E24" s="4" t="str">
        <x:v>piranport:equipment/reconnaissance_aircraft</x:v>
      </x:c>
      <x:c r="F24" s="4" t="str">
        <x:v>piranport:equipment/aircraft</x:v>
      </x:c>
      <x:c r="G24" s="4" t="str">
        <x:v>部署为实体时腾空武器槽，返航后恢复飞机物品。</x:v>
      </x:c>
      <x:c r="H24" s="4" t="str">
        <x:v>已实现</x:v>
      </x:c>
    </x:row>
    <x:row r="25" ht="30" customHeight="1">
      <x:c r="A25" s="4" t="str">
        <x:v>装备</x:v>
      </x:c>
      <x:c r="B25" s="4" t="str">
        <x:v>设备</x:v>
      </x:c>
      <x:c r="C25" s="4" t="str">
        <x:v>副炮</x:v>
      </x:c>
      <x:c r="D25" s="4" t="str">
        <x:v>Secondary Gun</x:v>
      </x:c>
      <x:c r="E25" s="4" t="str">
        <x:v>piranport:equipment/secondary_gun</x:v>
      </x:c>
      <x:c r="F25" s="4" t="str">
        <x:v>piranport:equipment/device</x:v>
      </x:c>
      <x:c r="G25" s="4" t="str">
        <x:v>设备栏装备；原美国双联3英寸防空炮改称副炮，不限制对海／空目标。</x:v>
      </x:c>
      <x:c r="H25" s="4" t="str">
        <x:v>已实现</x:v>
      </x:c>
    </x:row>
  </x:sheetData>
  <x:pageMargins left="0.7" right="0.7" top="0.75" bottom="0.75" header="0.3" footer="0.3"/>
  <x:tableParts count="1">
    <x:tablePart xmlns:r="http://schemas.openxmlformats.org/officeDocument/2006/relationships" r:id="Rdae29844f3594c50"/>
  </x:tableParts>
</x:worksheet>
</file>

<file path=xl/worksheets/sheet3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35" hidden="0" customWidth="1"/>
    <x:col min="3" max="3" width="12" hidden="0" customWidth="1"/>
    <x:col min="4" max="4" width="16" hidden="0" customWidth="1"/>
    <x:col min="5" max="5" width="17" hidden="0" customWidth="1"/>
    <x:col min="6" max="6" width="12" hidden="0" customWidth="1"/>
    <x:col min="7" max="7" width="12" hidden="0" customWidth="1"/>
    <x:col min="8" max="8" width="14" hidden="0" customWidth="1"/>
    <x:col min="9" max="9" width="14" hidden="0" customWidth="1"/>
    <x:col min="10" max="10" width="35" hidden="0" customWidth="1"/>
    <x:col min="11" max="11" width="54" hidden="0" customWidth="1"/>
    <x:col min="12" max="12" width="14" hidden="0" customWidth="1"/>
  </x:cols>
  <x:sheetData>
    <x:row r="1" ht="34" customHeight="1">
      <x:c r="A1" s="9" t="str">
        <x:v>名称</x:v>
      </x:c>
      <x:c r="B1" s="9" t="str">
        <x:v>配方 ID（建议）</x:v>
      </x:c>
      <x:c r="C1" s="9" t="str">
        <x:v>方式</x:v>
      </x:c>
      <x:c r="D1" s="9" t="str">
        <x:v>图纸槽位（格）</x:v>
      </x:c>
      <x:c r="E1" s="9" t="str">
        <x:v>每格消耗（张）</x:v>
      </x:c>
      <x:c r="F1" s="9" t="str">
        <x:v>纸（张）</x:v>
      </x:c>
      <x:c r="G1" s="9" t="str">
        <x:v>蓝染（个）</x:v>
      </x:c>
      <x:c r="H1" s="9" t="str">
        <x:v>输出（张）</x:v>
      </x:c>
      <x:c r="I1" s="9" t="str">
        <x:v>净增（张）</x:v>
      </x:c>
      <x:c r="J1" s="9" t="str">
        <x:v>许可处理</x:v>
      </x:c>
      <x:c r="K1" s="9" t="str">
        <x:v>排列 / 余留</x:v>
      </x:c>
      <x:c r="L1" s="9" t="str">
        <x:v>状态</x:v>
      </x:c>
    </x:row>
    <x:row r="2" ht="30" customHeight="1">
      <x:c r="A2" s="4" t="str">
        <x:v>2张合并</x:v>
      </x:c>
      <x:c r="B2" s="4" t="str">
        <x:v>piranport:blueprint_merge</x:v>
      </x:c>
      <x:c r="C2" s="4" t="str">
        <x:v>无序</x:v>
      </x:c>
      <x:c r="D2" s="14" t="n">
        <x:v>2</x:v>
      </x:c>
      <x:c r="E2" s="14" t="n">
        <x:v>1</x:v>
      </x:c>
      <x:c r="F2" s="14" t="n">
        <x:v>0</x:v>
      </x:c>
      <x:c r="G2" s="14" t="n">
        <x:v>0</x:v>
      </x:c>
      <x:c r="H2" s="14" t="n">
        <x:v>1</x:v>
      </x:c>
      <x:c r="I2" s="14" t="n">
        <x:f>H2-D2*E2</x:f>
        <x:v>-1</x:v>
      </x:c>
      <x:c r="J2" s="4" t="str">
        <x:v>同家族许可取并集</x:v>
      </x:c>
      <x:c r="K2" s="4" t="str">
        <x:v>任意位置，每格扣1、固定产出1张；相同许可照常合并，无返还。</x:v>
      </x:c>
      <x:c r="L2" s="4" t="str">
        <x:v>已实现</x:v>
      </x:c>
    </x:row>
    <x:row r="3" ht="30" customHeight="1">
      <x:c r="A3" s="4" t="str">
        <x:v>3张合并</x:v>
      </x:c>
      <x:c r="B3" s="4" t="str">
        <x:v>piranport:blueprint_merge</x:v>
      </x:c>
      <x:c r="C3" s="4" t="str">
        <x:v>无序</x:v>
      </x:c>
      <x:c r="D3" s="14" t="n">
        <x:v>3</x:v>
      </x:c>
      <x:c r="E3" s="14" t="n">
        <x:v>1</x:v>
      </x:c>
      <x:c r="F3" s="14" t="n">
        <x:v>0</x:v>
      </x:c>
      <x:c r="G3" s="14" t="n">
        <x:v>0</x:v>
      </x:c>
      <x:c r="H3" s="14" t="n">
        <x:v>1</x:v>
      </x:c>
      <x:c r="I3" s="14" t="n">
        <x:f>H3-D3*E3</x:f>
        <x:v>-2</x:v>
      </x:c>
      <x:c r="J3" s="4" t="str">
        <x:v>同家族许可取并集</x:v>
      </x:c>
      <x:c r="K3" s="4" t="str">
        <x:v>只统计非空格；槽内堆叠量不限，固定产出1张。</x:v>
      </x:c>
      <x:c r="L3" s="4" t="str">
        <x:v>已实现</x:v>
      </x:c>
    </x:row>
    <x:row r="4" ht="30" customHeight="1">
      <x:c r="A4" s="4" t="str">
        <x:v>4张合并</x:v>
      </x:c>
      <x:c r="B4" s="4" t="str">
        <x:v>piranport:blueprint_merge</x:v>
      </x:c>
      <x:c r="C4" s="4" t="str">
        <x:v>无序</x:v>
      </x:c>
      <x:c r="D4" s="14" t="n">
        <x:v>4</x:v>
      </x:c>
      <x:c r="E4" s="14" t="n">
        <x:v>1</x:v>
      </x:c>
      <x:c r="F4" s="14" t="n">
        <x:v>0</x:v>
      </x:c>
      <x:c r="G4" s="14" t="n">
        <x:v>0</x:v>
      </x:c>
      <x:c r="H4" s="14" t="n">
        <x:v>1</x:v>
      </x:c>
      <x:c r="I4" s="14" t="n">
        <x:f>H4-D4*E4</x:f>
        <x:v>-3</x:v>
      </x:c>
      <x:c r="J4" s="4" t="str">
        <x:v>同家族许可取并集</x:v>
      </x:c>
      <x:c r="K4" s="4" t="str">
        <x:v>第5个非空格或跨家族不匹配；合并固定产出1张。</x:v>
      </x:c>
      <x:c r="L4" s="4" t="str">
        <x:v>已实现</x:v>
      </x:c>
    </x:row>
    <x:row r="5" ht="30" customHeight="1">
      <x:c r="A5" s="4" t="str">
        <x:v>图纸扩展</x:v>
      </x:c>
      <x:c r="B5" s="4" t="str">
        <x:v>piranport:blueprint_expand</x:v>
      </x:c>
      <x:c r="C5" s="4" t="str">
        <x:v>有序</x:v>
      </x:c>
      <x:c r="D5" s="14" t="n">
        <x:v>1</x:v>
      </x:c>
      <x:c r="E5" s="14" t="n">
        <x:v>1</x:v>
      </x:c>
      <x:c r="F5" s="14" t="n">
        <x:v>7</x:v>
      </x:c>
      <x:c r="G5" s="14" t="n">
        <x:v>1</x:v>
      </x:c>
      <x:c r="H5" s="14" t="n">
        <x:v>8</x:v>
      </x:c>
      <x:c r="I5" s="14" t="n">
        <x:f>H5-D5*E5</x:f>
        <x:v>7</x:v>
      </x:c>
      <x:c r="J5" s="4" t="str">
        <x:v>完整继承原图许可</x:v>
      </x:c>
      <x:c r="K5" s="4" t="str">
        <x:v>固定3×3布局见下；原图不返还，不允许旋转或上下翻转。</x:v>
      </x:c>
      <x:c r="L5" s="4" t="str">
        <x:v>已实现</x:v>
      </x:c>
    </x:row>
    <x:row r="7" ht="42" customHeight="1">
      <x:c r="A7" s="12" t="str">
        <x:v>原料标签</x:v>
      </x:c>
      <x:c r="B7" s="12" t="str">
        <x:v>纸：#c:papers（项目补充定义，默认含 minecraft:paper）；蓝染：#c:dyes/blue（复用现有）。允许标签内其他模组材料及七格纸混用。</x:v>
      </x:c>
      <x:c r="C7" s="12"/>
      <x:c r="D7" s="12"/>
      <x:c r="E7" s="12"/>
      <x:c r="F7" s="12"/>
      <x:c r="G7" s="12"/>
      <x:c r="H7" s="12"/>
      <x:c r="I7" s="12"/>
      <x:c r="J7" s="12"/>
      <x:c r="K7" s="12"/>
      <x:c r="L7" s="12"/>
    </x:row>
    <x:row r="9" ht="30" customHeight="1">
      <x:c r="A9" t="str">
        <x:v>扩展布局</x:v>
      </x:c>
      <x:c r="B9" s="19" t="str">
        <x:v>纸</x:v>
      </x:c>
      <x:c r="C9" s="20" t="str">
        <x:v>蓝色染料</x:v>
      </x:c>
      <x:c r="D9" s="19" t="str">
        <x:v>纸</x:v>
      </x:c>
    </x:row>
    <x:row r="10" ht="30" customHeight="1">
      <x:c r="B10" s="19" t="str">
        <x:v>纸</x:v>
      </x:c>
      <x:c r="C10" s="20" t="str">
        <x:v>原图纸</x:v>
      </x:c>
      <x:c r="D10" s="19" t="str">
        <x:v>纸</x:v>
      </x:c>
    </x:row>
    <x:row r="11" ht="30" customHeight="1">
      <x:c r="B11" s="19" t="str">
        <x:v>纸</x:v>
      </x:c>
      <x:c r="C11" s="19" t="str">
        <x:v>纸</x:v>
      </x:c>
      <x:c r="D11" s="19" t="str">
        <x:v>纸</x:v>
      </x:c>
    </x:row>
    <x:row r="13" ht="42" customHeight="1">
      <x:c r="A13" s="12" t="str">
        <x:v>自动复制</x:v>
      </x:c>
      <x:c r="B13" s="12" t="str">
        <x:v>支持原版合成器。每轮原图被消耗，输出8张；装置从输出回送1张到中心格后可继续，净产出7张。配方不另返还原图。</x:v>
      </x:c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</x:row>
  </x:sheetData>
  <x:mergeCells>
    <x:mergeCell ref="B7:L7"/>
    <x:mergeCell ref="B13:L13"/>
  </x:mergeCells>
  <x:pageMargins left="0.7" right="0.7" top="0.75" bottom="0.75" header="0.3" footer="0.3"/>
  <x:tableParts count="1">
    <x:tablePart xmlns:r="http://schemas.openxmlformats.org/officeDocument/2006/relationships" r:id="R5873fe64f1f047e8"/>
  </x:tableParts>
</x:worksheet>
</file>

<file path=xl/worksheets/sheet4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57" hidden="0" customWidth="1"/>
    <x:col min="3" max="3" width="13" hidden="0" customWidth="1"/>
    <x:col min="4" max="4" width="13" hidden="0" customWidth="1"/>
    <x:col min="5" max="5" width="13" hidden="0" customWidth="1"/>
    <x:col min="6" max="6" width="19" hidden="0" customWidth="1"/>
    <x:col min="7" max="7" width="50" hidden="0" customWidth="1"/>
    <x:col min="8" max="8" width="50" hidden="0" customWidth="1"/>
    <x:col min="9" max="9" width="14" hidden="0" customWidth="1"/>
  </x:cols>
  <x:sheetData>
    <x:row r="1" ht="34" customHeight="1">
      <x:c r="A1" s="9" t="str">
        <x:v>来源</x:v>
      </x:c>
      <x:c r="B1" s="9" t="str">
        <x:v>战利品表 ID</x:v>
      </x:c>
      <x:c r="C1" s="9" t="str">
        <x:v>0张概率</x:v>
      </x:c>
      <x:c r="D1" s="9" t="str">
        <x:v>1张概率</x:v>
      </x:c>
      <x:c r="E1" s="9" t="str">
        <x:v>2张概率</x:v>
      </x:c>
      <x:c r="F1" s="9" t="str">
        <x:v>平均数量（张）</x:v>
      </x:c>
      <x:c r="G1" s="9" t="str">
        <x:v>单张内容</x:v>
      </x:c>
      <x:c r="H1" s="9" t="str">
        <x:v>两张处理</x:v>
      </x:c>
      <x:c r="I1" s="9" t="str">
        <x:v>状态</x:v>
      </x:c>
    </x:row>
    <x:row r="2" ht="42" customHeight="1">
      <x:c r="A2" s="4" t="str">
        <x:v>沉船财宝箱</x:v>
      </x:c>
      <x:c r="B2" s="4" t="str">
        <x:v>minecraft:chests/shipwreck_treasure</x:v>
      </x:c>
      <x:c r="C2" s="23" t="n">
        <x:v>0.25</x:v>
      </x:c>
      <x:c r="D2" s="23" t="n">
        <x:v>0.5</x:v>
      </x:c>
      <x:c r="E2" s="23" t="n">
        <x:v>0.25</x:v>
      </x:c>
      <x:c r="F2" s="24" t="n">
        <x:f>D2+2*E2</x:f>
        <x:v>1</x:v>
      </x:c>
      <x:c r="G2" s="4" t="str">
        <x:v>每张独立选择家族、一个子类及其非空许可集合。</x:v>
      </x:c>
      <x:c r="H2" s="4" t="str">
        <x:v>分别生成两个数量1的物品堆，即使内容相同也不主动合并。</x:v>
      </x:c>
      <x:c r="I2" s="4" t="str">
        <x:v>已实现</x:v>
      </x:c>
    </x:row>
    <x:row r="3" ht="42" customHeight="1">
      <x:c r="A3" s="4" t="str">
        <x:v>埋藏宝藏</x:v>
      </x:c>
      <x:c r="B3" s="4" t="str">
        <x:v>minecraft:chests/buried_treasure</x:v>
      </x:c>
      <x:c r="C3" s="23" t="n">
        <x:v>0</x:v>
      </x:c>
      <x:c r="D3" s="23" t="n">
        <x:v>0.5</x:v>
      </x:c>
      <x:c r="E3" s="23" t="n">
        <x:v>0.5</x:v>
      </x:c>
      <x:c r="F3" s="24" t="n">
        <x:f>D3+2*E3</x:f>
        <x:v>1.5</x:v>
      </x:c>
      <x:c r="G3" s="4" t="str">
        <x:v>每张独立选择家族、一个子类及其非空许可集合。</x:v>
      </x:c>
      <x:c r="H3" s="4" t="str">
        <x:v>分别生成两个数量1的物品堆，即使内容相同也不主动合并。</x:v>
      </x:c>
      <x:c r="I3" s="4" t="str">
        <x:v>已实现</x:v>
      </x:c>
    </x:row>
    <x:row r="5" ht="42" customHeight="1">
      <x:c r="A5" s="12" t="str">
        <x:v>抽取实现</x:v>
      </x:c>
      <x:c r="B5" s="12" t="str">
        <x:v>沉船：两次独立50%奖励抽取；埋藏宝藏：一次必定抽取加一次50%抽取。每次命中都单独随机许可并产生数量1的物品堆。</x:v>
      </x:c>
      <x:c r="C5" s="12"/>
      <x:c r="D5" s="12"/>
      <x:c r="E5" s="12"/>
      <x:c r="F5" s="12"/>
      <x:c r="G5" s="12"/>
      <x:c r="H5" s="12"/>
      <x:c r="I5" s="12"/>
    </x:row>
    <x:row r="6" ht="42" customHeight="1">
      <x:c r="A6" s="12" t="str">
        <x:v>内容分布</x:v>
      </x:c>
      <x:c r="B6" s="12" t="str">
        <x:v>单张家族等概率，各家族三个子类等概率，许可数量1至子类总数等概率，再等概率选不重复组合。当前实现由战利品数据分层表达，数据包可调整，不属于图纸稀有度。</x:v>
      </x:c>
      <x:c r="C6" s="12"/>
      <x:c r="D6" s="12"/>
      <x:c r="E6" s="12"/>
      <x:c r="F6" s="12"/>
      <x:c r="G6" s="12"/>
      <x:c r="H6" s="12"/>
      <x:c r="I6" s="12"/>
    </x:row>
    <x:row r="7" ht="42" customHeight="1">
      <x:c r="A7" s="12" t="str">
        <x:v>未投放箱</x:v>
      </x:c>
      <x:c r="B7" s="12" t="str">
        <x:v>minecraft:chests/shipwreck_map、minecraft:chests/shipwreck_supply 不投放。藏宝图物品不直接发图纸；后续自建结构另行接入。</x:v>
      </x:c>
      <x:c r="C7" s="12"/>
      <x:c r="D7" s="12"/>
      <x:c r="E7" s="12"/>
      <x:c r="F7" s="12"/>
      <x:c r="G7" s="12"/>
      <x:c r="H7" s="12"/>
      <x:c r="I7" s="12"/>
    </x:row>
    <x:row r="8" ht="42" customHeight="1">
      <x:c r="A8" s="12" t="str">
        <x:v>自然堆叠</x:v>
      </x:c>
      <x:c r="B8" s="12" t="str">
        <x:v>生成流程不调用合并、压缩或去重。原版后续容器整理、拾取和背包仍可自然堆叠，不为拆堆添加 UUID 或改变堆叠规则。</x:v>
      </x:c>
      <x:c r="C8" s="12"/>
      <x:c r="D8" s="12"/>
      <x:c r="E8" s="12"/>
      <x:c r="F8" s="12"/>
      <x:c r="G8" s="12"/>
      <x:c r="H8" s="12"/>
      <x:c r="I8" s="12"/>
    </x:row>
  </x:sheetData>
  <x:mergeCells>
    <x:mergeCell ref="B5:I5"/>
    <x:mergeCell ref="B6:I6"/>
    <x:mergeCell ref="B7:I7"/>
    <x:mergeCell ref="B8:I8"/>
  </x:mergeCells>
  <x:pageMargins left="0.7" right="0.7" top="0.75" bottom="0.75" header="0.3" footer="0.3"/>
  <x:tableParts count="1">
    <x:tablePart xmlns:r="http://schemas.openxmlformats.org/officeDocument/2006/relationships" r:id="R0d003ea68e9e427b"/>
  </x:tableParts>
</x:worksheet>
</file>

<file path=xl/worksheets/sheet5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49" hidden="0" customWidth="1"/>
    <x:col min="3" max="3" width="12" hidden="0" customWidth="1"/>
    <x:col min="4" max="4" width="17" hidden="0" customWidth="1"/>
    <x:col min="5" max="5" width="48" hidden="0" customWidth="1"/>
    <x:col min="6" max="6" width="56" hidden="0" customWidth="1"/>
    <x:col min="7" max="7" width="40" hidden="0" customWidth="1"/>
    <x:col min="8" max="8" width="14" hidden="0" customWidth="1"/>
  </x:cols>
  <x:sheetData>
    <x:row r="1" ht="34" customHeight="1">
      <x:c r="A1" s="9" t="str">
        <x:v>进度</x:v>
      </x:c>
      <x:c r="B1" s="9" t="str">
        <x:v>进度 ID（建议）</x:v>
      </x:c>
      <x:c r="C1" s="9" t="str">
        <x:v>家族</x:v>
      </x:c>
      <x:c r="D1" s="9" t="str">
        <x:v>许可目标数</x:v>
      </x:c>
      <x:c r="E1" s="9" t="str">
        <x:v>累计方式</x:v>
      </x:c>
      <x:c r="F1" s="9" t="str">
        <x:v>取得判定</x:v>
      </x:c>
      <x:c r="G1" s="9" t="str">
        <x:v>不回退条件</x:v>
      </x:c>
      <x:c r="H1" s="9" t="str">
        <x:v>状态</x:v>
      </x:c>
    </x:row>
    <x:row r="2" ht="42" customHeight="1">
      <x:c r="A2" s="4" t="str">
        <x:v>取得所有舰船类型许可</x:v>
      </x:c>
      <x:c r="B2" s="4" t="str">
        <x:v>piranport:blueprints/all_ship_types</x:v>
      </x:c>
      <x:c r="C2" s="4" t="str">
        <x:v>舰船</x:v>
      </x:c>
      <x:c r="D2" s="14" t="n">
        <x:f>COUNTIFS('许可类型'!$A$2:$A$24,C2)</x:f>
        <x:v>9</x:v>
      </x:c>
      <x:c r="E2" s="4" t="str">
        <x:v>9项许可分别累计；复合图纸同时满足其中多项。</x:v>
      </x:c>
      <x:c r="F2" s="4" t="str">
        <x:v>合法图纸实际进入玩家物品栏或副手；拾取、交易、合成及赠送均可。</x:v>
      </x:c>
      <x:c r="G2" s="4" t="str">
        <x:v>使用、赠送、丢失、死亡不撤回。</x:v>
      </x:c>
      <x:c r="H2" s="4" t="str">
        <x:v>已实现</x:v>
      </x:c>
    </x:row>
    <x:row r="3" ht="42" customHeight="1">
      <x:c r="A3" s="4" t="str">
        <x:v>取得所有装备类型许可</x:v>
      </x:c>
      <x:c r="B3" s="4" t="str">
        <x:v>piranport:blueprints/all_equipment_types</x:v>
      </x:c>
      <x:c r="C3" s="4" t="str">
        <x:v>装备</x:v>
      </x:c>
      <x:c r="D3" s="14" t="n">
        <x:v>15</x:v>
      </x:c>
      <x:c r="E3" s="4" t="str">
        <x:v>15项许可分别累计；复合图纸同时满足其中多项。</x:v>
      </x:c>
      <x:c r="F3" s="4" t="str">
        <x:v>只打开箱子或自动合成器产出不计给玩家，实际取得后才累计。</x:v>
      </x:c>
      <x:c r="G3" s="4" t="str">
        <x:v>跨会话保存；不要求同时持有。</x:v>
      </x:c>
      <x:c r="H3" s="4" t="str">
        <x:v>已实现</x:v>
      </x:c>
    </x:row>
    <x:row r="5" ht="42" customHeight="1">
      <x:c r="A5" s="12" t="str">
        <x:v>制造边界</x:v>
      </x:c>
      <x:c r="B5" s="12" t="str">
        <x:v>只保存收集成果，不授予制造权限；制造仍检查设备中实际投入的图纸。不设跨家族总体进度，不新增独立个人许可存档。</x:v>
      </x:c>
      <x:c r="C5" s="12"/>
      <x:c r="D5" s="12"/>
      <x:c r="E5" s="12"/>
      <x:c r="F5" s="12"/>
      <x:c r="G5" s="12"/>
      <x:c r="H5" s="12"/>
    </x:row>
    <x:row r="6" ht="42" customHeight="1">
      <x:c r="A6" s="12" t="str">
        <x:v>检测范围</x:v>
      </x:c>
      <x:c r="B6" s="12" t="str">
        <x:v>直接物品栏和副手，不递归扫描箱子或潜影盒。按许可做包含判定，不能用整个组件相等代替。进度撤销命令可按原版管理。</x:v>
      </x:c>
      <x:c r="C6" s="12"/>
      <x:c r="D6" s="12"/>
      <x:c r="E6" s="12"/>
      <x:c r="F6" s="12"/>
      <x:c r="G6" s="12"/>
      <x:c r="H6" s="12"/>
    </x:row>
  </x:sheetData>
  <x:mergeCells>
    <x:mergeCell ref="B5:H5"/>
    <x:mergeCell ref="B6:H6"/>
  </x:mergeCells>
  <x:pageMargins left="0.7" right="0.7" top="0.75" bottom="0.75" header="0.3" footer="0.3"/>
  <x:tableParts count="1">
    <x:tablePart xmlns:r="http://schemas.openxmlformats.org/officeDocument/2006/relationships" r:id="R3a610cc1aa664d21"/>
  </x:tableParts>
</x: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showGridLines="1" workbookViewId="0">
      <pane ySplit="1" topLeftCell="A2" activePane="bottomLeft" state="frozen"/>
    </sheetView>
  </sheetViews>
  <sheetFormatPr defaultRowHeight="15"/>
  <cols>
    <col min="1" max="1" width="22.729999542236328" hidden="0" customWidth="1"/>
    <col min="2" max="2" width="31" hidden="0" customWidth="1"/>
    <col min="3" max="3" width="18" hidden="0" customWidth="1"/>
    <col min="4" max="4" width="18" hidden="0" customWidth="1"/>
    <col min="5" max="5" width="56" hidden="0" customWidth="1"/>
    <col min="6" max="6" width="57" hidden="0" customWidth="1"/>
    <col min="7" max="7" width="20" hidden="0" customWidth="1"/>
    <col min="8" max="8" width="16" hidden="0" customWidth="1"/>
  </cols>
  <sheetData>
    <row r="1" ht="34" customHeight="1">
      <c r="A1" s="9" t="str">
        <v>zh_CN</v>
      </c>
      <c r="B1" s="9" t="str">
        <v>en_US（暂定）</v>
      </c>
      <c r="C1" s="9" t="str">
        <v>class</v>
      </c>
      <c r="D1" s="9" t="str">
        <v>id</v>
      </c>
      <c r="E1" s="9" t="str">
        <v>properties</v>
      </c>
      <c r="F1" s="9" t="str">
        <v>图纸关系</v>
      </c>
      <c r="G1" s="9" t="str">
        <v>Recipes</v>
      </c>
      <c r="H1" s="9" t="str">
        <v>状态</v>
      </c>
    </row>
    <row r="2" ht="30" customHeight="1">
      <c r="A2" s="4" t="str">
        <v>船坞</v>
      </c>
      <c r="B2" s="4" t="str">
        <v>Shipyard</v>
      </c>
      <c r="C2" s="4" t="str">
        <v>SHIPYARD</v>
      </c>
      <c r="D2" s="4" t="str">
        <v>shipyard</v>
      </c>
      <c r="E2" s="4" t="str">
        <v>单工位建造全部船型，12格材料及32000 mB燃油；强化、改造标签锁定。</v>
      </c>
      <c r="F2" s="4" t="str">
        <v>开工预留1张，完工扣除；余量可取，同许可兼容堆叠可补充；不自动续建。</v>
      </c>
      <c r="G2" s="4" t="str">
        <v>4钢锭、2铝锭、2燃料桶、1工作台</v>
      </c>
      <c r="H2" s="4" t="str">
        <v>已实现</v>
      </c>
    </row>
    <row r="3" ht="68" customHeight="1">
      <c r="A3" s="4" t="str">
        <v>开发工厂</v>
      </c>
      <c r="B3" s="4" t="str">
        <v>Development Factory</v>
      </c>
      <c r="C3" s="4" t="str">
        <v>DEVELOPMENT_FACTORY</v>
      </c>
      <c r="D3" s="4" t="str">
        <v>development_factory</v>
      </c>
      <c r="E3" s="4" t="str">
        <v>GUI384×252，预览96×48；单工位12格材料、16000 mB燃油；开发与锁定维修标签，橙／绿状态点。</v>
      </c>
      <c r="F3" s="4" t="str">
        <v>每任务预留并完工扣1张装备图纸；快修产8个，其余1件；不自动续做。</v>
      </c>
      <c r="G3" s="4" t="str">
        <v>4钢锭、2铝锭、1空燃料桶、1工作台、1活塞；原料燃料桶须为空。</v>
      </c>
      <c r="H3" s="4" t="str">
        <v>已实现；维修未开发</v>
      </c>
    </row>
    <row r="4" ht="30" customHeight="1">
      <c r="A4" s="4" t="str">
        <v>弹药生产线</v>
      </c>
      <c r="B4" s="4" t="str">
        <v>Ammunition Production Line</v>
      </c>
      <c r="C4" s="4" t="str">
        <v>AMMUNITION_FACTORY</v>
      </c>
      <c r="D4" s="4" t="str">
        <v>ammunition_factory</v>
      </c>
      <c r="E4" s="4" t="str">
        <v>单工位；材料和产物各8格；有限计划逐次扣料；中断完成当前一次；仅保存缓存。</v>
      </c>
      <c r="F4" s="4" t="str">
        <v>不使用图纸、动力和燃油。</v>
      </c>
      <c r="G4" s="4" t="str">
        <v>4钢锭、2铝锭、1铜锭、1活塞、1工作台；SCS/APA/SWS。</v>
      </c>
      <c r="H4" s="4" t="inlineStr">
        <is>
          <t>已实现（0.1.103）</t>
        </is>
      </c>
    </row>
  </sheetData>
  <pageMargins left="0.7" right="0.7" top="0.75" bottom="0.75" header="0.3" footer="0.3"/>
  <tableParts count="1">
    <tablePart r:id="R08150a492908498d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1" topLeftCell="A2" activePane="bottomLeft" state="frozen"/>
    </sheetView>
  </sheetViews>
  <sheetFormatPr defaultRowHeight="15"/>
  <cols>
    <col min="1" max="1" width="27" hidden="0" customWidth="1"/>
    <col min="2" max="2" width="24" hidden="0" customWidth="1"/>
    <col min="3" max="3" width="35" hidden="0" customWidth="1"/>
    <col min="4" max="4" width="12" hidden="0" customWidth="1"/>
    <col min="5" max="5" width="80" hidden="0" customWidth="1"/>
    <col min="6" max="6" width="18" hidden="0" customWidth="1"/>
  </cols>
  <sheetData>
    <row r="1" ht="32" customHeight="1">
      <c r="A1" s="33" t="str">
        <v>参数ID</v>
      </c>
      <c r="B1" s="33" t="str">
        <v>名称</v>
      </c>
      <c r="C1" s="33" t="str">
        <v>数值／规则</v>
      </c>
      <c r="D1" s="33" t="str">
        <v>单位</v>
      </c>
      <c r="E1" s="33" t="str">
        <v>说明</v>
      </c>
      <c r="F1" s="33" t="str">
        <v>状态</v>
      </c>
    </row>
    <row r="2" ht="24" customHeight="1">
      <c r="A2" s="29" t="str">
        <v>workstations</v>
      </c>
      <c r="B2" s="29" t="str">
        <v>建造工位</v>
      </c>
      <c r="C2" s="29" t="n">
        <v>1</v>
      </c>
      <c r="D2" s="29" t="str">
        <v>个</v>
      </c>
      <c r="E2" s="29" t="str">
        <v>所有船型共用任务、图纸和产物；强化、改造标签锁定</v>
      </c>
      <c r="F2" s="29" t="str">
        <v>已实现</v>
      </c>
    </row>
    <row r="3" ht="24" customHeight="1">
      <c r="A3" s="29" t="str">
        <v>material_slots</v>
      </c>
      <c r="B3" s="29" t="str">
        <v>材料缓存</v>
      </c>
      <c r="C3" s="29" t="n">
        <v>12</v>
      </c>
      <c r="D3" s="29" t="str">
        <v>格</v>
      </c>
      <c r="E3" s="29" t="str">
        <v>4列×3行，单工位统一使用</v>
      </c>
      <c r="F3" s="29" t="str">
        <v>已实现</v>
      </c>
    </row>
    <row r="4" ht="24" customHeight="1">
      <c r="A4" s="29" t="str">
        <v>fuel_capacity</v>
      </c>
      <c r="B4" s="29" t="str">
        <v>燃油容量</v>
      </c>
      <c r="C4" s="29" t="n">
        <v>32000</v>
      </c>
      <c r="D4" s="29" t="str">
        <v>mB</v>
      </c>
      <c r="E4" s="29" t="str">
        <v>仅接收本模组燃油，保留流体组件</v>
      </c>
      <c r="F4" s="29" t="str">
        <v>已实现</v>
      </c>
    </row>
    <row r="5" ht="24" customHeight="1">
      <c r="A5" s="29" t="str">
        <v>blueprint_reserved</v>
      </c>
      <c r="B5" s="29" t="str">
        <v>建造预留图纸</v>
      </c>
      <c r="C5" s="29" t="n">
        <v>1</v>
      </c>
      <c r="D5" s="29" t="str">
        <v>张</v>
      </c>
      <c r="E5" s="29" t="str">
        <v>其余可取；仅补充完整许可相同且可正常堆叠的图纸</v>
      </c>
      <c r="F5" s="29" t="str">
        <v>已实现</v>
      </c>
    </row>
    <row r="6" ht="24" customHeight="1">
      <c r="A6" s="29" t="str">
        <v>blueprint_cost</v>
      </c>
      <c r="B6" s="29" t="str">
        <v>每单图纸消耗</v>
      </c>
      <c r="C6" s="29" t="n">
        <v>1</v>
      </c>
      <c r="D6" s="29" t="str">
        <v>张</v>
      </c>
      <c r="E6" s="29" t="str">
        <v>完工扣除；取消不扣，补充不触发续建</v>
      </c>
      <c r="F6" s="29" t="str">
        <v>已实现</v>
      </c>
    </row>
    <row r="7" ht="24" customHeight="1">
      <c r="A7" s="29" t="str">
        <v>ticks_per_second</v>
      </c>
      <c r="B7" s="29" t="str">
        <v>标准计时</v>
      </c>
      <c r="C7" s="29" t="n">
        <v>20</v>
      </c>
      <c r="D7" s="29" t="str">
        <v>tick/秒</v>
      </c>
      <c r="E7" s="29" t="str">
        <v>区块正常运行时推进；卸载和停机不补时</v>
      </c>
      <c r="F7" s="29" t="str">
        <v>已实现</v>
      </c>
    </row>
    <row r="8" ht="24" customHeight="1">
      <c r="A8" s="29" t="str">
        <v>steel_guidance</v>
      </c>
      <c r="B8" s="29" t="str">
        <v>初期钢材消耗倾向</v>
      </c>
      <c r="C8" s="29" t="n">
        <v>64</v>
      </c>
      <c r="D8" s="29" t="str">
        <v>锭/单</v>
      </c>
      <c r="E8" s="29" t="str">
        <v>建议不超过64锭，不是配方校验上限；支持块锭粒混投</v>
      </c>
      <c r="F8" s="29" t="str">
        <v>设计倾向</v>
      </c>
    </row>
    <row r="9" ht="24" customHeight="1">
      <c r="A9" s="29" t="str">
        <v>aluminum_guidance</v>
      </c>
      <c r="B9" s="29" t="str">
        <v>初期铝材消耗倾向</v>
      </c>
      <c r="C9" s="29" t="n">
        <v>64</v>
      </c>
      <c r="D9" s="29" t="str">
        <v>锭/单</v>
      </c>
      <c r="E9" s="29" t="str">
        <v>建议不超过64锭，不是配方校验上限；兼容c:标签</v>
      </c>
      <c r="F9" s="29" t="str">
        <v>设计倾向</v>
      </c>
    </row>
    <row r="10" ht="24" customHeight="1">
      <c r="A10" s="29" t="inlineStr">
        <is>
          <t>high_explosive_shell</t>
        </is>
      </c>
      <c r="B10" s="29" t="inlineStr">
        <is>
          <t>高爆弹</t>
        </is>
      </c>
      <c r="C10" s="29" t="n">
        <v>2</v>
      </c>
      <c r="D10" s="29" t="inlineStr">
        <is>
          <t>点/枚</t>
        </is>
      </c>
      <c r="E10" s="29" t="inlineStr">
        <is>
          <t>堆叠64；八弹种完全通用；缓存顺序整枚扣除，末枚向上取整，无找零。</t>
        </is>
      </c>
      <c r="F10" s="29" t="inlineStr">
        <is>
          <t>已实现</t>
        </is>
      </c>
    </row>
    <row r="11" ht="24" customHeight="1">
      <c r="A11" s="29" t="inlineStr">
        <is>
          <t>armor_piercing_shell</t>
        </is>
      </c>
      <c r="B11" s="29" t="inlineStr">
        <is>
          <t>穿甲弹</t>
        </is>
      </c>
      <c r="C11" s="29" t="n">
        <v>3</v>
      </c>
      <c r="D11" s="29" t="inlineStr">
        <is>
          <t>点/枚</t>
        </is>
      </c>
      <c r="E11" s="29" t="inlineStr">
        <is>
          <t>堆叠64；八弹种完全通用；缓存顺序整枚扣除，末枚向上取整，无找零。</t>
        </is>
      </c>
      <c r="F11" s="29" t="inlineStr">
        <is>
          <t>已实现</t>
        </is>
      </c>
    </row>
    <row r="12" ht="24" customHeight="1">
      <c r="A12" s="29" t="inlineStr">
        <is>
          <t>anti_aircraft_shell</t>
        </is>
      </c>
      <c r="B12" s="29" t="inlineStr">
        <is>
          <t>防空弹</t>
        </is>
      </c>
      <c r="C12" s="29" t="n">
        <v>3</v>
      </c>
      <c r="D12" s="29" t="inlineStr">
        <is>
          <t>点/枚</t>
        </is>
      </c>
      <c r="E12" s="29" t="inlineStr">
        <is>
          <t>堆叠64；八弹种完全通用；缓存顺序整枚扣除，末枚向上取整，无找零。</t>
        </is>
      </c>
      <c r="F12" s="29" t="inlineStr">
        <is>
          <t>已实现</t>
        </is>
      </c>
    </row>
    <row r="13" ht="24" customHeight="1">
      <c r="A13" s="29" t="inlineStr">
        <is>
          <t>depth_charge</t>
        </is>
      </c>
      <c r="B13" s="29" t="inlineStr">
        <is>
          <t>深水炸弹</t>
        </is>
      </c>
      <c r="C13" s="29" t="n">
        <v>1</v>
      </c>
      <c r="D13" s="29" t="inlineStr">
        <is>
          <t>点/枚</t>
        </is>
      </c>
      <c r="E13" s="29" t="inlineStr">
        <is>
          <t>堆叠64；八弹种完全通用；缓存顺序整枚扣除，末枚向上取整，无找零。</t>
        </is>
      </c>
      <c r="F13" s="29" t="inlineStr">
        <is>
          <t>已实现</t>
        </is>
      </c>
    </row>
    <row r="14" ht="24" customHeight="1">
      <c r="A14" s="29" t="inlineStr">
        <is>
          <t>straight_running_torpedo</t>
        </is>
      </c>
      <c r="B14" s="29" t="inlineStr">
        <is>
          <t>直航鱼雷</t>
        </is>
      </c>
      <c r="C14" s="29" t="n">
        <v>3</v>
      </c>
      <c r="D14" s="29" t="inlineStr">
        <is>
          <t>点/枚</t>
        </is>
      </c>
      <c r="E14" s="29" t="inlineStr">
        <is>
          <t>堆叠64；八弹种完全通用；缓存顺序整枚扣除，末枚向上取整，无找零。</t>
        </is>
      </c>
      <c r="F14" s="29" t="inlineStr">
        <is>
          <t>已实现</t>
        </is>
      </c>
    </row>
    <row r="15" ht="24" customHeight="1">
      <c r="A15" s="29" t="inlineStr">
        <is>
          <t>guided_torpedo</t>
        </is>
      </c>
      <c r="B15" s="29" t="inlineStr">
        <is>
          <t>制导鱼雷</t>
        </is>
      </c>
      <c r="C15" s="29" t="n">
        <v>4</v>
      </c>
      <c r="D15" s="29" t="inlineStr">
        <is>
          <t>点/枚</t>
        </is>
      </c>
      <c r="E15" s="29" t="inlineStr">
        <is>
          <t>堆叠64；八弹种完全通用；缓存顺序整枚扣除，末枚向上取整，无找零。</t>
        </is>
      </c>
      <c r="F15" s="29" t="inlineStr">
        <is>
          <t>已实现</t>
        </is>
      </c>
    </row>
    <row r="16" ht="24" customHeight="1">
      <c r="A16" s="29" t="inlineStr">
        <is>
          <t>anti_ship_missile</t>
        </is>
      </c>
      <c r="B16" s="29" t="inlineStr">
        <is>
          <t>反舰导弹</t>
        </is>
      </c>
      <c r="C16" s="29" t="n">
        <v>8</v>
      </c>
      <c r="D16" s="29" t="inlineStr">
        <is>
          <t>点/枚</t>
        </is>
      </c>
      <c r="E16" s="29" t="inlineStr">
        <is>
          <t>堆叠64；八弹种完全通用；缓存顺序整枚扣除，末枚向上取整，无找零。</t>
        </is>
      </c>
      <c r="F16" s="29" t="inlineStr">
        <is>
          <t>已实现</t>
        </is>
      </c>
    </row>
    <row r="17" ht="24" customHeight="1">
      <c r="A17" s="29" t="inlineStr">
        <is>
          <t>anti_aircraft_missile</t>
        </is>
      </c>
      <c r="B17" s="29" t="inlineStr">
        <is>
          <t>防空导弹</t>
        </is>
      </c>
      <c r="C17" s="29" t="n">
        <v>6</v>
      </c>
      <c r="D17" s="29" t="inlineStr">
        <is>
          <t>点/枚</t>
        </is>
      </c>
      <c r="E17" s="29" t="inlineStr">
        <is>
          <t>堆叠64；八弹种完全通用；缓存顺序整枚扣除，末枚向上取整，无找零。</t>
        </is>
      </c>
      <c r="F17" s="29" t="inlineStr">
        <is>
          <t>已实现</t>
        </is>
      </c>
    </row>
    <row r="18" ht="24" customHeight="1">
      <c r="A18" s="29" t="inlineStr">
        <is>
          <t>he_equivalent_guidance</t>
        </is>
      </c>
      <c r="B18" s="29" t="inlineStr">
        <is>
          <t>初期弹药枚数倾向</t>
        </is>
      </c>
      <c r="C18" s="29" t="n">
        <v>64</v>
      </c>
      <c r="D18" s="29" t="str">
        <v>件/单</v>
      </c>
      <c r="E18" s="29" t="inlineStr">
        <is>
          <t>建议不超过64枚高爆弹（128点），不是配方校验上限</t>
        </is>
      </c>
      <c r="F18" s="29" t="str">
        <v>设计倾向</v>
      </c>
    </row>
    <row r="19" ht="24" customHeight="1">
      <c r="A19" s="29" t="str">
        <v>duration_guidance</v>
      </c>
      <c r="B19" s="29" t="str">
        <v>初期建造时长倾向</v>
      </c>
      <c r="C19" s="29" t="n">
        <v>300</v>
      </c>
      <c r="D19" s="29" t="str">
        <v>秒</v>
      </c>
      <c r="E19" s="29" t="str">
        <v>建议不超过300秒，不作配方校验上限；时长须为正</v>
      </c>
      <c r="F19" s="29" t="str">
        <v>设计倾向</v>
      </c>
    </row>
    <row r="20" ht="24" customHeight="1">
      <c r="A20" s="29" t="str">
        <v>duration_target</v>
      </c>
      <c r="B20" s="29" t="str">
        <v>首批时长目标</v>
      </c>
      <c r="C20" s="29" t="n">
        <v>180</v>
      </c>
      <c r="D20" s="29" t="str">
        <v>秒</v>
      </c>
      <c r="E20" s="29" t="str">
        <v>首批45–180秒，逐舰独立配方，不作显式上限</v>
      </c>
      <c r="F20" s="29" t="str">
        <v>设计倾向</v>
      </c>
    </row>
    <row r="21" ht="24" customHeight="1">
      <c r="A21" s="29" t="str">
        <v>cancel_confirmation</v>
      </c>
      <c r="B21" s="29" t="str">
        <v>取消确认</v>
      </c>
      <c r="C21" s="30" t="b">
        <v>1</v>
      </c>
      <c r="D21" s="29" t="str">
        <v>开关</v>
      </c>
      <c r="E21" s="29" t="str">
        <v>默认返回；确认绑定唯一任务，过期确认不得取消新单</v>
      </c>
      <c r="F21" s="29" t="str">
        <v>已实现</v>
      </c>
    </row>
    <row r="22" ht="24" customHeight="1">
      <c r="A22" s="29" t="str">
        <v>auto_repeat</v>
      </c>
      <c r="B22" s="29" t="str">
        <v>自动续建</v>
      </c>
      <c r="C22" s="30" t="b">
        <v>0</v>
      </c>
      <c r="D22" s="29" t="str">
        <v>开关</v>
      </c>
      <c r="E22" s="29" t="str">
        <v>不排队、不自动补充图纸、不因红石自动开工</v>
      </c>
      <c r="F22" s="29" t="str">
        <v>已实现</v>
      </c>
    </row>
    <row r="23" ht="24" customHeight="1">
      <c r="A23" s="29" t="str">
        <v>output_pending</v>
      </c>
      <c r="B23" s="29" t="str">
        <v>产物待取时开工</v>
      </c>
      <c r="C23" s="30" t="b">
        <v>0</v>
      </c>
      <c r="D23" s="29" t="str">
        <v>开关</v>
      </c>
      <c r="E23" s="29" t="str">
        <v>建造按钮可点，仅提示先取走产物，不扣任何资源</v>
      </c>
      <c r="F23" s="29" t="str">
        <v>已实现</v>
      </c>
    </row>
    <row r="24" ht="24" customHeight="1">
      <c r="A24" s="29" t="str">
        <v>fuel_refund_overflow</v>
      </c>
      <c r="B24" s="29" t="str">
        <v>取消燃油溢出</v>
      </c>
      <c r="C24" s="29" t="str">
        <v>销毁</v>
      </c>
      <c r="D24" s="29" t="str">
        <v>规则</v>
      </c>
      <c r="E24" s="29" t="str">
        <v>尽量退回储罐，超容部分销毁；普通加油不销毁</v>
      </c>
      <c r="F24" s="29" t="str">
        <v>已实现</v>
      </c>
    </row>
    <row r="25" ht="24" customHeight="1">
      <c r="A25" s="29" t="str">
        <v>item_overflow</v>
      </c>
      <c r="B25" s="29" t="str">
        <v>找零及退款溢出</v>
      </c>
      <c r="C25" s="29" t="str">
        <v>缓存→操作者背包→掉落</v>
      </c>
      <c r="D25" s="29" t="str">
        <v>规则</v>
      </c>
      <c r="E25" s="29" t="str">
        <v>无操作者在船坞位置掉落；不因找零空间不足拒绝开工</v>
      </c>
      <c r="F25" s="29" t="str">
        <v>已实现</v>
      </c>
    </row>
    <row r="26" ht="24" customHeight="1">
      <c r="A26" s="29" t="str">
        <v>ammo_refund</v>
      </c>
      <c r="B26" s="29" t="str">
        <v>弹药退款</v>
      </c>
      <c r="C26" s="29" t="str">
        <v>原物原数</v>
      </c>
      <c r="D26" s="29" t="str">
        <v>规则</v>
      </c>
      <c r="E26" s="29" t="str">
        <v>保留开工实际扣除的种类、数量和组件</v>
      </c>
      <c r="F26" s="29" t="str">
        <v>已实现</v>
      </c>
    </row>
    <row r="27" ht="24" customHeight="1">
      <c r="A27" s="29" t="str">
        <v>break_behavior</v>
      </c>
      <c r="B27" s="29" t="str">
        <v>拆除行为</v>
      </c>
      <c r="C27" s="29" t="str">
        <v>生存保留，创造散落</v>
      </c>
      <c r="D27" s="29" t="str">
        <v>规则</v>
      </c>
      <c r="E27" s="29" t="str">
        <v>生存取消后随船坞保存；创造不掉船坞，物品散落、燃油清除</v>
      </c>
      <c r="F27" s="29" t="str">
        <v>已实现</v>
      </c>
    </row>
    <row r="28" ht="24" customHeight="1">
      <c r="A28" s="29" t="str">
        <v>gui_fuel</v>
      </c>
      <c r="B28" s="29" t="str">
        <v>GUI燃油容器</v>
      </c>
      <c r="C28" s="29" t="str">
        <v>左键注入，右键取出</v>
      </c>
      <c r="D28" s="29" t="str">
        <v>规则</v>
      </c>
      <c r="E28" s="29" t="str">
        <v>鼠标携带容器，在油罐区域交互；尽量转移最大量</v>
      </c>
      <c r="F28" s="29" t="str">
        <v>已实现</v>
      </c>
    </row>
    <row r="29" ht="24" customHeight="1">
      <c r="A29" s="29" t="str">
        <v>world_fuel</v>
      </c>
      <c r="B29" s="29" t="str">
        <v>世界右键燃油容器</v>
      </c>
      <c r="C29" s="29" t="str">
        <v>未满注入，已满取出</v>
      </c>
      <c r="D29" s="29" t="str">
        <v>规则</v>
      </c>
      <c r="E29" s="29" t="str">
        <v>以点击开始状态确定单一方向；普通桶整桶；失败打开GUI</v>
      </c>
      <c r="F29" s="29" t="str">
        <v>已实现</v>
      </c>
    </row>
    <row r="30" ht="24" customHeight="1">
      <c r="A30" s="29" t="str">
        <v>top_io</v>
      </c>
      <c r="B30" s="29" t="str">
        <v>顶部接口</v>
      </c>
      <c r="C30" s="29" t="str">
        <v>图纸输入输出</v>
      </c>
      <c r="D30" s="29" t="str">
        <v>规则</v>
      </c>
      <c r="E30" s="29" t="str">
        <v>唯一图纸槽；所有船型图纸均可准入；顶部不允许流体</v>
      </c>
      <c r="F30" s="29" t="str">
        <v>已实现</v>
      </c>
    </row>
    <row r="31" ht="24" customHeight="1">
      <c r="A31" s="29" t="str">
        <v>side_io</v>
      </c>
      <c r="B31" s="29" t="str">
        <v>四侧接口</v>
      </c>
      <c r="C31" s="29" t="str">
        <v>材料输入输出、优先产物</v>
      </c>
      <c r="D31" s="29" t="str">
        <v>规则</v>
      </c>
      <c r="E31" s="29" t="str">
        <v>先抽唯一产物槽，再抽材料；允许燃油双向</v>
      </c>
      <c r="F31" s="29" t="str">
        <v>已实现</v>
      </c>
    </row>
    <row r="32" ht="24" customHeight="1">
      <c r="A32" s="29" t="str">
        <v>bottom_io</v>
      </c>
      <c r="B32" s="29" t="str">
        <v>底部接口</v>
      </c>
      <c r="C32" s="29" t="str">
        <v>仅输出产物</v>
      </c>
      <c r="D32" s="29" t="str">
        <v>规则</v>
      </c>
      <c r="E32" s="29" t="str">
        <v>唯一产物槽；允许燃油双向</v>
      </c>
      <c r="F32" s="29" t="str">
        <v>已实现</v>
      </c>
    </row>
    <row r="33" ht="24" customHeight="1">
      <c r="A33" s="29" t="str">
        <v>browse_state</v>
      </c>
      <c r="B33" s="29" t="str">
        <v>浏览保存</v>
      </c>
      <c r="C33" s="29" t="str">
        <v>最后关闭窗口</v>
      </c>
      <c r="D33" s="29" t="str">
        <v>规则</v>
      </c>
      <c r="E33" s="29" t="inlineStr">
        <is>
          <t>船型与舰种双向联动；窗口独立，最后关闭保存筛选、选择及滚动，不绑定UUID。</t>
        </is>
      </c>
      <c r="F33" s="29" t="str">
        <v>已实现</v>
      </c>
    </row>
    <row r="34" ht="24" customHeight="1">
      <c r="A34" s="29" t="str">
        <v>query_all</v>
      </c>
      <c r="B34" s="29" t="str">
        <v>显示全部</v>
      </c>
      <c r="C34" s="29" t="str">
        <v>固定全宽勾选条</v>
      </c>
      <c r="D34" s="29" t="str">
        <v>规则</v>
      </c>
      <c r="E34" s="29" t="str">
        <v>无图纸仍可查询全部船型；不授予许可；至少4行</v>
      </c>
      <c r="F34" s="29" t="str">
        <v>已实现</v>
      </c>
    </row>
    <row r="35" ht="24" customHeight="1">
      <c r="A35" s="29" t="str">
        <v>task_status</v>
      </c>
      <c r="B35" s="29" t="str">
        <v>建造标签标记</v>
      </c>
      <c r="C35" s="29" t="str">
        <v>橙点建造、绿点待取</v>
      </c>
      <c r="D35" s="29" t="str">
        <v>规则</v>
      </c>
      <c r="E35" s="29" t="str">
        <v>空闲无点；强化、改造锁定；任务名对齐箭头，长名省略</v>
      </c>
      <c r="F35" s="29" t="str">
        <v>已实现</v>
      </c>
    </row>
    <row r="36" ht="24" customHeight="1">
      <c r="A36" s="29" t="str">
        <v>completion_sound</v>
      </c>
      <c r="B36" s="29" t="str">
        <v>完成音效</v>
      </c>
      <c r="C36" s="29" t="str">
        <v>common_craft_success</v>
      </c>
      <c r="D36" s="29" t="str">
        <v>资源</v>
      </c>
      <c r="E36" s="29" t="str">
        <v>单次完工播放，附近约16格；打开GUI和取产物不重播</v>
      </c>
      <c r="F36" s="29" t="str">
        <v>已实现</v>
      </c>
    </row>
    <row r="37" ht="24" customHeight="1">
      <c r="A37" s="29" t="str">
        <v>models</v>
      </c>
      <c r="B37" s="29" t="str">
        <v>舰娘模型</v>
      </c>
      <c r="C37" s="29" t="str">
        <v>占位符</v>
      </c>
      <c r="D37" s="29" t="str">
        <v>资源</v>
      </c>
      <c r="E37" s="29" t="str">
        <v>无图纸、无主动查询、无产物时显示当前玩家模型</v>
      </c>
      <c r="F37" s="29" t="str">
        <v>已实现</v>
      </c>
    </row>
    <row r="38" ht="24" customHeight="1">
      <c r="A38" s="29" t="str">
        <v>block_recipe</v>
      </c>
      <c r="B38" s="29" t="str">
        <v>船坞合成</v>
      </c>
      <c r="C38" s="29" t="str">
        <v>SAS/BCB/SAS</v>
      </c>
      <c r="D38" s="29" t="str">
        <v>配方</v>
      </c>
      <c r="E38" s="29" t="str">
        <v>S钢锭，A铝锭，B燃料桶，C工作台；需4钢、2铝、2燃料桶、1工作台</v>
      </c>
      <c r="F38" s="29" t="str">
        <v>已实现</v>
      </c>
    </row>
    <row r="39" ht="24" customHeight="1">
      <c r="A39" s="29" t="str">
        <v>portable_barrel</v>
      </c>
      <c r="B39" s="29" t="str">
        <v>燃料桶物品容量</v>
      </c>
      <c r="C39" s="29" t="n">
        <v>16000</v>
      </c>
      <c r="D39" s="29" t="str">
        <v>mB（默认）</v>
      </c>
      <c r="E39" s="29" t="str">
        <v>跟随fuelBarrelCapacity单格配置；物品能力支持组件、模拟和降容保留余量</v>
      </c>
      <c r="F39" s="29" t="str">
        <v>已实现</v>
      </c>
    </row>
  </sheetData>
  <pageMargins left="0.7" right="0.7" top="0.75" bottom="0.75" header="0.3" footer="0.3"/>
  <tableParts count="1">
    <tablePart r:id="Rabf6f41a40074abe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1" topLeftCell="A2" activePane="bottomLeft" state="frozen"/>
    </sheetView>
  </sheetViews>
  <sheetFormatPr defaultRowHeight="15"/>
  <cols>
    <col min="1" max="1" width="24" hidden="0" customWidth="1"/>
    <col min="2" max="2" width="28" hidden="0" customWidth="1"/>
    <col min="3" max="3" width="10" hidden="0" customWidth="1"/>
    <col min="4" max="4" width="10" hidden="0" customWidth="1"/>
    <col min="5" max="5" width="16" hidden="0" customWidth="1"/>
    <col min="6" max="6" width="16" hidden="0" customWidth="1"/>
    <col min="7" max="7" width="16" hidden="0" customWidth="1"/>
    <col min="8" max="8" width="16" hidden="0" customWidth="1"/>
    <col min="9" max="9" width="16" hidden="0" customWidth="1"/>
    <col min="10" max="10" width="16" hidden="0" customWidth="1"/>
    <col min="11" max="11" width="16" hidden="0" customWidth="1"/>
    <col min="12" max="12" width="16" hidden="0" customWidth="1"/>
    <col min="13" max="13" width="24" hidden="0" customWidth="1"/>
  </cols>
  <sheetData>
    <row r="1" ht="32" customHeight="1">
      <c r="A1" s="33" t="str">
        <v>舰船ID</v>
      </c>
      <c r="B1" s="33" t="str">
        <v>舰名</v>
      </c>
      <c r="C1" s="33" t="str">
        <v>船型</v>
      </c>
      <c r="D1" s="33" t="str">
        <v>舰种</v>
      </c>
      <c r="E1" s="33" t="str">
        <v>燃油(mB)</v>
      </c>
      <c r="F1" s="33" t="str">
        <v>弹药点</v>
      </c>
      <c r="G1" s="33" t="str">
        <v>钢锭</v>
      </c>
      <c r="H1" s="33" t="str">
        <v>铝锭</v>
      </c>
      <c r="I1" s="33" t="str">
        <v>建造秒</v>
      </c>
      <c r="J1" s="33" t="str">
        <v>进度tick</v>
      </c>
      <c r="K1" s="33" t="inlineStr">
        <is>
          <t>高爆弹等价枚数</t>
        </is>
      </c>
      <c r="L1" s="33" t="str">
        <v>建造分:秒</v>
      </c>
      <c r="M1" s="33" t="str">
        <v>状态</v>
      </c>
    </row>
    <row r="2" ht="24" customHeight="1">
      <c r="A2" s="29" t="str">
        <v>lexington_cv2</v>
      </c>
      <c r="B2" s="29" t="str">
        <v>列克星敦(CV-2)</v>
      </c>
      <c r="C2" s="29" t="str">
        <v>大型</v>
      </c>
      <c r="D2" s="29" t="str">
        <v>航母</v>
      </c>
      <c r="E2" s="36" t="n">
        <v>5000</v>
      </c>
      <c r="F2" s="36" t="n">
        <v>48</v>
      </c>
      <c r="G2" s="36" t="n">
        <v>40</v>
      </c>
      <c r="H2" s="36" t="n">
        <v>48</v>
      </c>
      <c r="I2" s="36" t="n">
        <v>150</v>
      </c>
      <c r="J2" s="36" t="n">
        <f>I2*'船坞参数'!$C$7</f>
        <v>3000</v>
      </c>
      <c r="K2" s="36" t="n">
        <f>F2/'船坞参数'!$C$10</f>
        <v>24</v>
      </c>
      <c r="L2" s="37" t="n">
        <f>I2/86400</f>
        <v>0.001736111111111111</v>
      </c>
      <c r="M2" s="29" t="str">
        <v>已实现</v>
      </c>
    </row>
    <row r="3" ht="24" customHeight="1">
      <c r="A3" s="29" t="str">
        <v>saratoga</v>
      </c>
      <c r="B3" s="29" t="str">
        <v>萨拉托加</v>
      </c>
      <c r="C3" s="29" t="str">
        <v>大型</v>
      </c>
      <c r="D3" s="29" t="str">
        <v>航母</v>
      </c>
      <c r="E3" s="36" t="n">
        <v>5000</v>
      </c>
      <c r="F3" s="36" t="n">
        <v>48</v>
      </c>
      <c r="G3" s="36" t="n">
        <v>44</v>
      </c>
      <c r="H3" s="36" t="n">
        <v>44</v>
      </c>
      <c r="I3" s="36" t="n">
        <v>140</v>
      </c>
      <c r="J3" s="36" t="n">
        <f>I3*'船坞参数'!$C$7</f>
        <v>2800</v>
      </c>
      <c r="K3" s="36" t="n">
        <f>F3/'船坞参数'!$C$10</f>
        <v>24</v>
      </c>
      <c r="L3" s="37" t="n">
        <f>I3/86400</f>
        <v>0.0016203703703703703</v>
      </c>
      <c r="M3" s="29" t="str">
        <v>已实现</v>
      </c>
    </row>
    <row r="4" ht="24" customHeight="1">
      <c r="A4" s="29" t="str">
        <v>vittorio_veneto</v>
      </c>
      <c r="B4" s="29" t="str">
        <v>维托里奥·维内托</v>
      </c>
      <c r="C4" s="29" t="str">
        <v>大型</v>
      </c>
      <c r="D4" s="29" t="str">
        <v>战列</v>
      </c>
      <c r="E4" s="36" t="n">
        <v>6000</v>
      </c>
      <c r="F4" s="36" t="n">
        <v>96</v>
      </c>
      <c r="G4" s="36" t="n">
        <v>64</v>
      </c>
      <c r="H4" s="36" t="n">
        <v>16</v>
      </c>
      <c r="I4" s="36" t="n">
        <v>180</v>
      </c>
      <c r="J4" s="36" t="n">
        <f>I4*'船坞参数'!$C$7</f>
        <v>3600</v>
      </c>
      <c r="K4" s="36" t="n">
        <f>F4/'船坞参数'!$C$10</f>
        <v>48</v>
      </c>
      <c r="L4" s="37" t="n">
        <f>I4/86400</f>
        <v>0.0020833333333333333</v>
      </c>
      <c r="M4" s="29" t="str">
        <v>已实现</v>
      </c>
    </row>
    <row r="5" ht="24" customHeight="1">
      <c r="A5" s="29" t="str">
        <v>hood</v>
      </c>
      <c r="B5" s="29" t="str">
        <v>胡德</v>
      </c>
      <c r="C5" s="29" t="str">
        <v>大型</v>
      </c>
      <c r="D5" s="29" t="str">
        <v>战巡</v>
      </c>
      <c r="E5" s="36" t="n">
        <v>5000</v>
      </c>
      <c r="F5" s="36" t="n">
        <v>80</v>
      </c>
      <c r="G5" s="36" t="n">
        <v>48</v>
      </c>
      <c r="H5" s="36" t="n">
        <v>12</v>
      </c>
      <c r="I5" s="36" t="n">
        <v>165</v>
      </c>
      <c r="J5" s="36" t="n">
        <f>I5*'船坞参数'!$C$7</f>
        <v>3300</v>
      </c>
      <c r="K5" s="36" t="n">
        <f>F5/'船坞参数'!$C$10</f>
        <v>40</v>
      </c>
      <c r="L5" s="37" t="n">
        <f>I5/86400</f>
        <v>0.0019097222222222222</v>
      </c>
      <c r="M5" s="29" t="str">
        <v>已实现</v>
      </c>
    </row>
    <row r="6" ht="24" customHeight="1">
      <c r="A6" s="29" t="str">
        <v>quincy</v>
      </c>
      <c r="B6" s="29" t="str">
        <v>昆西</v>
      </c>
      <c r="C6" s="29" t="str">
        <v>中型</v>
      </c>
      <c r="D6" s="29" t="str">
        <v>重巡</v>
      </c>
      <c r="E6" s="36" t="n">
        <v>2500</v>
      </c>
      <c r="F6" s="36" t="n">
        <v>40</v>
      </c>
      <c r="G6" s="36" t="n">
        <v>24</v>
      </c>
      <c r="H6" s="36" t="n">
        <v>8</v>
      </c>
      <c r="I6" s="36" t="n">
        <v>90</v>
      </c>
      <c r="J6" s="36" t="n">
        <f>I6*'船坞参数'!$C$7</f>
        <v>1800</v>
      </c>
      <c r="K6" s="36" t="n">
        <f>F6/'船坞参数'!$C$10</f>
        <v>20</v>
      </c>
      <c r="L6" s="37" t="n">
        <f>I6/86400</f>
        <v>0.0010416666666666667</v>
      </c>
      <c r="M6" s="29" t="str">
        <v>已实现</v>
      </c>
    </row>
    <row r="7" ht="24" customHeight="1">
      <c r="A7" s="29" t="str">
        <v>prinz_eugen</v>
      </c>
      <c r="B7" s="29" t="str">
        <v>欧根亲王</v>
      </c>
      <c r="C7" s="29" t="str">
        <v>中型</v>
      </c>
      <c r="D7" s="29" t="str">
        <v>重巡</v>
      </c>
      <c r="E7" s="36" t="n">
        <v>3000</v>
      </c>
      <c r="F7" s="36" t="n">
        <v>48</v>
      </c>
      <c r="G7" s="36" t="n">
        <v>28</v>
      </c>
      <c r="H7" s="36" t="n">
        <v>12</v>
      </c>
      <c r="I7" s="36" t="n">
        <v>105</v>
      </c>
      <c r="J7" s="36" t="n">
        <f>I7*'船坞参数'!$C$7</f>
        <v>2100</v>
      </c>
      <c r="K7" s="36" t="n">
        <f>F7/'船坞参数'!$C$10</f>
        <v>24</v>
      </c>
      <c r="L7" s="37" t="n">
        <f>I7/86400</f>
        <v>0.0012152777777777778</v>
      </c>
      <c r="M7" s="29" t="str">
        <v>已实现</v>
      </c>
    </row>
    <row r="8" ht="24" customHeight="1">
      <c r="A8" s="29" t="str">
        <v>yat_sen</v>
      </c>
      <c r="B8" s="29" t="str">
        <v>逸仙</v>
      </c>
      <c r="C8" s="29" t="str">
        <v>中型</v>
      </c>
      <c r="D8" s="29" t="str">
        <v>轻巡</v>
      </c>
      <c r="E8" s="36" t="n">
        <v>1500</v>
      </c>
      <c r="F8" s="36" t="n">
        <v>24</v>
      </c>
      <c r="G8" s="36" t="n">
        <v>16</v>
      </c>
      <c r="H8" s="36" t="n">
        <v>6</v>
      </c>
      <c r="I8" s="36" t="n">
        <v>60</v>
      </c>
      <c r="J8" s="36" t="n">
        <f>I8*'船坞参数'!$C$7</f>
        <v>1200</v>
      </c>
      <c r="K8" s="36" t="n">
        <f>F8/'船坞参数'!$C$10</f>
        <v>12</v>
      </c>
      <c r="L8" s="37" t="n">
        <f>I8/86400</f>
        <v>0.0006944444444444445</v>
      </c>
      <c r="M8" s="29" t="str">
        <v>已实现</v>
      </c>
    </row>
    <row r="9" ht="24" customHeight="1">
      <c r="A9" s="29" t="str">
        <v>glowworm</v>
      </c>
      <c r="B9" s="29" t="str">
        <v>萤火虫</v>
      </c>
      <c r="C9" s="29" t="str">
        <v>小型</v>
      </c>
      <c r="D9" s="29" t="str">
        <v>驱逐</v>
      </c>
      <c r="E9" s="36" t="n">
        <v>1000</v>
      </c>
      <c r="F9" s="36" t="n">
        <v>16</v>
      </c>
      <c r="G9" s="36" t="n">
        <v>8</v>
      </c>
      <c r="H9" s="36" t="n">
        <v>4</v>
      </c>
      <c r="I9" s="36" t="n">
        <v>45</v>
      </c>
      <c r="J9" s="36" t="n">
        <f>I9*'船坞参数'!$C$7</f>
        <v>900</v>
      </c>
      <c r="K9" s="36" t="n">
        <f>F9/'船坞参数'!$C$10</f>
        <v>8</v>
      </c>
      <c r="L9" s="37" t="n">
        <f>I9/86400</f>
        <v>0.0005208333333333333</v>
      </c>
      <c r="M9" s="29" t="str">
        <v>已实现</v>
      </c>
    </row>
    <row r="10" ht="24" customHeight="1">
      <c r="A10" s="29" t="str">
        <v>changchun</v>
      </c>
      <c r="B10" s="29" t="str">
        <v>长春</v>
      </c>
      <c r="C10" s="29" t="str">
        <v>小型</v>
      </c>
      <c r="D10" s="29" t="str">
        <v>驱逐</v>
      </c>
      <c r="E10" s="36" t="n">
        <v>2000</v>
      </c>
      <c r="F10" s="36" t="n">
        <v>48</v>
      </c>
      <c r="G10" s="36" t="n">
        <v>20</v>
      </c>
      <c r="H10" s="36" t="n">
        <v>16</v>
      </c>
      <c r="I10" s="36" t="n">
        <v>75</v>
      </c>
      <c r="J10" s="36" t="n">
        <f>I10*'船坞参数'!$C$7</f>
        <v>1500</v>
      </c>
      <c r="K10" s="36" t="n">
        <f>F10/'船坞参数'!$C$10</f>
        <v>24</v>
      </c>
      <c r="L10" s="37" t="n">
        <f>I10/86400</f>
        <v>0.0008680555555555555</v>
      </c>
      <c r="M10" s="29" t="str">
        <v>已实现</v>
      </c>
    </row>
    <row r="11" ht="24" customHeight="1">
      <c r="A11" s="29" t="str">
        <v>u47</v>
      </c>
      <c r="B11" s="29" t="str">
        <v>U-47</v>
      </c>
      <c r="C11" s="29" t="str">
        <v>小型</v>
      </c>
      <c r="D11" s="29" t="str">
        <v>潜艇</v>
      </c>
      <c r="E11" s="36" t="n">
        <v>1000</v>
      </c>
      <c r="F11" s="36" t="n">
        <v>24</v>
      </c>
      <c r="G11" s="36" t="n">
        <v>12</v>
      </c>
      <c r="H11" s="36" t="n">
        <v>6</v>
      </c>
      <c r="I11" s="36" t="n">
        <v>60</v>
      </c>
      <c r="J11" s="36" t="n">
        <f>I11*'船坞参数'!$C$7</f>
        <v>1200</v>
      </c>
      <c r="K11" s="36" t="n">
        <f>F11/'船坞参数'!$C$10</f>
        <v>12</v>
      </c>
      <c r="L11" s="37" t="n">
        <f>I11/86400</f>
        <v>0.0006944444444444445</v>
      </c>
      <c r="M11" s="29" t="str">
        <v>已实现</v>
      </c>
    </row>
    <row r="12" ht="24" customHeight="1">
      <c r="A12" s="29" t="str">
        <v>—</v>
      </c>
      <c r="B12" s="29" t="str">
        <v>轻母基准</v>
      </c>
      <c r="C12" s="29" t="str">
        <v>中型</v>
      </c>
      <c r="D12" s="29" t="str">
        <v>轻母</v>
      </c>
      <c r="E12" s="36" t="n">
        <v>3000</v>
      </c>
      <c r="F12" s="36" t="n">
        <v>32</v>
      </c>
      <c r="G12" s="36" t="n">
        <v>24</v>
      </c>
      <c r="H12" s="36" t="n">
        <v>24</v>
      </c>
      <c r="I12" s="36" t="n">
        <v>120</v>
      </c>
      <c r="J12" s="36" t="n">
        <f>I12*'船坞参数'!$C$7</f>
        <v>2400</v>
      </c>
      <c r="K12" s="36" t="n">
        <f>F12/'船坞参数'!$C$10</f>
        <v>16</v>
      </c>
      <c r="L12" s="37" t="n">
        <f>I12/86400</f>
        <v>0.001388888888888889</v>
      </c>
      <c r="M12" s="29" t="str">
        <v>基准，暂无舰船</v>
      </c>
    </row>
    <row r="13" ht="24" customHeight="1">
      <c r="A13" s="29" t="str">
        <v>—</v>
      </c>
      <c r="B13" s="29" t="str">
        <v>重炮基准</v>
      </c>
      <c r="C13" s="29" t="str">
        <v>小型</v>
      </c>
      <c r="D13" s="29" t="str">
        <v>重炮</v>
      </c>
      <c r="E13" s="36" t="n">
        <v>1500</v>
      </c>
      <c r="F13" s="36" t="n">
        <v>32</v>
      </c>
      <c r="G13" s="36" t="n">
        <v>24</v>
      </c>
      <c r="H13" s="36" t="n">
        <v>4</v>
      </c>
      <c r="I13" s="36" t="n">
        <v>75</v>
      </c>
      <c r="J13" s="36" t="n">
        <f>I13*'船坞参数'!$C$7</f>
        <v>1500</v>
      </c>
      <c r="K13" s="36" t="n">
        <f>F13/'船坞参数'!$C$10</f>
        <v>16</v>
      </c>
      <c r="L13" s="37" t="n">
        <f>I13/86400</f>
        <v>0.0008680555555555555</v>
      </c>
      <c r="M13" s="29" t="str">
        <v>基准，暂无舰船</v>
      </c>
    </row>
  </sheetData>
  <pageMargins left="0.7" right="0.7" top="0.75" bottom="0.75" header="0.3" footer="0.3"/>
  <tableParts count="1">
    <tablePart r:id="R78d79c90d9ca45fd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F29"/>
  <sheetViews>
    <sheetView showGridLines="0" workbookViewId="0">
      <pane ySplit="1" topLeftCell="A2" activePane="bottomLeft" state="frozen"/>
    </sheetView>
  </sheetViews>
  <sheetFormatPr defaultRowHeight="15"/>
  <cols>
    <col min="1" max="1" width="16" hidden="0" customWidth="1"/>
    <col min="2" max="2" width="23" hidden="0" customWidth="1"/>
    <col min="3" max="3" width="45" hidden="0" customWidth="1"/>
    <col min="4" max="4" width="43" hidden="0" customWidth="1"/>
    <col min="5" max="5" width="88" hidden="0" customWidth="1"/>
    <col min="6" max="6" width="27" hidden="0" customWidth="1"/>
  </cols>
  <sheetData>
    <row r="1" ht="34" customHeight="1">
      <c r="A1" s="38" t="str">
        <v>设施</v>
      </c>
      <c r="B1" s="38" t="str">
        <v>注册表／接口</v>
      </c>
      <c r="C1" s="38" t="str">
        <v>标识</v>
      </c>
      <c r="D1" s="38" t="str">
        <v>类型／入口</v>
      </c>
      <c r="E1" s="38" t="str">
        <v>参数与职责</v>
      </c>
      <c r="F1" s="38" t="str">
        <v>状态</v>
      </c>
    </row>
    <row r="2" ht="48" customHeight="1">
      <c r="A2" s="40" t="str">
        <v>船坞</v>
      </c>
      <c r="B2" s="40" t="str">
        <v>方块</v>
      </c>
      <c r="C2" s="40" t="str">
        <v>piranport:shipyard</v>
      </c>
      <c r="D2" s="40" t="str">
        <v>ShipyardBlock</v>
      </c>
      <c r="E2" s="40" t="str">
        <v>水平朝向；金属音；硬度4、爆炸抗性8；正确工具掉落，活塞不可推动。</v>
      </c>
      <c r="F2" s="40" t="str">
        <v>已实现</v>
      </c>
    </row>
    <row r="3" ht="48" customHeight="1">
      <c r="A3" s="40" t="str">
        <v>船坞</v>
      </c>
      <c r="B3" s="40" t="str">
        <v>方块实体</v>
      </c>
      <c r="C3" s="40" t="str">
        <v>piranport:shipyard</v>
      </c>
      <c r="D3" s="40" t="str">
        <v>ShipyardBlockEntity</v>
      </c>
      <c r="E3" s="40" t="str">
        <v>单工位任务、12格材料、32000 mB燃油、图纸与产物、浏览保存。</v>
      </c>
      <c r="F3" s="40" t="str">
        <v>已实现</v>
      </c>
    </row>
    <row r="4" ht="48" customHeight="1">
      <c r="A4" s="40" t="str">
        <v>船坞</v>
      </c>
      <c r="B4" s="40" t="str">
        <v>菜单</v>
      </c>
      <c r="C4" s="40" t="str">
        <v>piranport:shipyard</v>
      </c>
      <c r="D4" s="40" t="str">
        <v>ShipyardMenu</v>
      </c>
      <c r="E4" s="40" t="str">
        <v>同步库存与任务；打开时传方块位置与浏览状态。</v>
      </c>
      <c r="F4" s="40" t="str">
        <v>已实现</v>
      </c>
    </row>
    <row r="5" ht="48" customHeight="1">
      <c r="A5" s="40" t="str">
        <v>船坞</v>
      </c>
      <c r="B5" s="40" t="str">
        <v>配方类型</v>
      </c>
      <c r="C5" s="40" t="str">
        <v>piranport:shipyard</v>
      </c>
      <c r="D5" s="40" t="str">
        <v>RecipeType&lt;ShipyardRecipe&gt;</v>
      </c>
      <c r="E5" s="40" t="str">
        <v>十舰按具体身份匹配，费用和时间由数据包定义。</v>
      </c>
      <c r="F5" s="40" t="str">
        <v>已实现</v>
      </c>
    </row>
    <row r="6" ht="48" customHeight="1">
      <c r="A6" s="40" t="str">
        <v>船坞</v>
      </c>
      <c r="B6" s="40" t="str">
        <v>配方序列化器</v>
      </c>
      <c r="C6" s="40" t="str">
        <v>piranport:shipyard</v>
      </c>
      <c r="D6" s="40" t="str">
        <v>ShipyardRecipe.Serializer</v>
      </c>
      <c r="E6" s="40" t="str">
        <v>目标、燃油、弹药点、钢、铝、秒；开工冻结费用与时间。</v>
      </c>
      <c r="F6" s="40" t="str">
        <v>已实现</v>
      </c>
    </row>
    <row r="7" ht="48" customHeight="1">
      <c r="A7" s="40" t="str">
        <v>船坞</v>
      </c>
      <c r="B7" s="40" t="str">
        <v>数据组件</v>
      </c>
      <c r="C7" s="40" t="str">
        <v>piranport:shipyard_storage</v>
      </c>
      <c r="D7" s="40" t="str">
        <v>CustomData</v>
      </c>
      <c r="E7" s="40" t="str">
        <v>不可变保存取消后的缓存和浏览；持久化与网络编码。</v>
      </c>
      <c r="F7" s="40" t="str">
        <v>已实现</v>
      </c>
    </row>
    <row r="8" ht="48" customHeight="1">
      <c r="A8" s="40" t="str">
        <v>船坞</v>
      </c>
      <c r="B8" s="40" t="str">
        <v>音效</v>
      </c>
      <c r="C8" s="40" t="str">
        <v>piranport:shipyard_complete</v>
      </c>
      <c r="D8" s="40" t="str">
        <v>SoundEvent</v>
      </c>
      <c r="E8" s="40" t="str">
        <v>common_craft_success素材；仅真实完工播放一次，约16格可听。</v>
      </c>
      <c r="F8" s="40" t="str">
        <v>已实现</v>
      </c>
    </row>
    <row r="9" ht="48" customHeight="1">
      <c r="A9" s="40" t="str">
        <v>船坞</v>
      </c>
      <c r="B9" s="40" t="str">
        <v>服务端载荷</v>
      </c>
      <c r="C9" s="40" t="str">
        <v>piranport:shipyard_action</v>
      </c>
      <c r="D9" s="40" t="str">
        <v>ShipyardActionPayload</v>
      </c>
      <c r="E9" s="40" t="str">
        <v>客户端发送意图，服务端校验菜单、距离、任务及资源。</v>
      </c>
      <c r="F9" s="40" t="str">
        <v>已实现</v>
      </c>
    </row>
    <row r="10" ht="48" customHeight="1">
      <c r="A10" s="40" t="str">
        <v>船坞</v>
      </c>
      <c r="B10" s="40" t="str">
        <v>客户端载荷</v>
      </c>
      <c r="C10" s="40" t="str">
        <v>piranport:shipyard_sync</v>
      </c>
      <c r="D10" s="40" t="str">
        <v>ShipyardSyncPayload</v>
      </c>
      <c r="E10" s="40" t="str">
        <v>同步任务、进度、浏览响应，不在公共路径加载渲染类。</v>
      </c>
      <c r="F10" s="40" t="str">
        <v>已实现</v>
      </c>
    </row>
    <row r="11" ht="48" customHeight="1">
      <c r="A11" s="40" t="str">
        <v>开发工厂</v>
      </c>
      <c r="B11" s="40" t="str">
        <v>方块</v>
      </c>
      <c r="C11" s="40" t="str">
        <v>piranport:development_factory</v>
      </c>
      <c r="D11" s="40" t="str">
        <v>DevelopmentFactoryBlock</v>
      </c>
      <c r="E11" s="40" t="str">
        <v>水平朝向；单工位，维修标签锁定；材质和外观参考船坞。</v>
      </c>
      <c r="F11" s="40" t="str">
        <v>已实现</v>
      </c>
    </row>
    <row r="12" ht="48" customHeight="1">
      <c r="A12" s="40" t="str">
        <v>开发工厂</v>
      </c>
      <c r="B12" s="40" t="str">
        <v>方块实体</v>
      </c>
      <c r="C12" s="40" t="str">
        <v>piranport:development_factory</v>
      </c>
      <c r="D12" s="40" t="str">
        <v>DevelopmentFactoryBlockEntity</v>
      </c>
      <c r="E12" s="40" t="str">
        <v>12格材料、16000 mB燃油；冻结产物类别、身份、数量及费用时间。</v>
      </c>
      <c r="F12" s="40" t="str">
        <v>已实现</v>
      </c>
    </row>
    <row r="13" ht="48" customHeight="1">
      <c r="A13" s="40" t="str">
        <v>开发工厂</v>
      </c>
      <c r="B13" s="40" t="str">
        <v>菜单</v>
      </c>
      <c r="C13" s="40" t="str">
        <v>piranport:development_factory</v>
      </c>
      <c r="D13" s="40" t="str">
        <v>DevelopmentFactoryMenu</v>
      </c>
      <c r="E13" s="40" t="str">
        <v>一个图纸槽和产物槽；状态点、搜索筛选与独立浏览。</v>
      </c>
      <c r="F13" s="40" t="str">
        <v>已实现</v>
      </c>
    </row>
    <row r="14" ht="48" customHeight="1">
      <c r="A14" s="40" t="str">
        <v>开发工厂</v>
      </c>
      <c r="B14" s="40" t="str">
        <v>配方类型</v>
      </c>
      <c r="C14" s="40" t="str">
        <v>piranport:development_factory</v>
      </c>
      <c r="D14" s="40" t="str">
        <v>RecipeType&lt;DevelopmentFactoryRecipe&gt;</v>
      </c>
      <c r="E14" s="40" t="str">
        <v>21个型号及2种普通消耗品；不按固定组合制造。</v>
      </c>
      <c r="F14" s="40" t="str">
        <v>已实现</v>
      </c>
    </row>
    <row r="15" ht="48" customHeight="1">
      <c r="A15" s="40" t="str">
        <v>开发工厂</v>
      </c>
      <c r="B15" s="40" t="str">
        <v>配方序列化器</v>
      </c>
      <c r="C15" s="40" t="str">
        <v>piranport:development_factory</v>
      </c>
      <c r="D15" s="40" t="str">
        <v>DevelopmentFactoryRecipe.Serializer</v>
      </c>
      <c r="E15" s="40" t="str">
        <v>四资源、秒、产量及目标种类；快修一次8个，其余1个。</v>
      </c>
      <c r="F15" s="40" t="str">
        <v>已实现</v>
      </c>
    </row>
    <row r="16" ht="48" customHeight="1">
      <c r="A16" s="40" t="str">
        <v>开发工厂</v>
      </c>
      <c r="B16" s="40" t="str">
        <v>数据组件</v>
      </c>
      <c r="C16" s="40" t="str">
        <v>piranport:development_factory_storage</v>
      </c>
      <c r="D16" s="40" t="str">
        <v>CustomData</v>
      </c>
      <c r="E16" s="40" t="str">
        <v>生存拆除取消任务后保存缓存；重放不恢复进度。</v>
      </c>
      <c r="F16" s="40" t="str">
        <v>已实现</v>
      </c>
    </row>
    <row r="17" ht="48" customHeight="1">
      <c r="A17" s="40" t="str">
        <v>开发工厂</v>
      </c>
      <c r="B17" s="40" t="str">
        <v>音效复用</v>
      </c>
      <c r="C17" s="40" t="str">
        <v>piranport:shipyard_complete</v>
      </c>
      <c r="D17" s="40" t="str">
        <v>已有SoundEvent</v>
      </c>
      <c r="E17" s="40" t="str">
        <v>复用现有完成音效；不重复注册同一素材。</v>
      </c>
      <c r="F17" s="40" t="str">
        <v>已实现</v>
      </c>
    </row>
    <row r="18" ht="48" customHeight="1">
      <c r="A18" s="40" t="str">
        <v>开发工厂</v>
      </c>
      <c r="B18" s="40" t="str">
        <v>服务端载荷</v>
      </c>
      <c r="C18" s="40" t="str">
        <v>piranport:development_factory_action</v>
      </c>
      <c r="D18" s="40" t="str">
        <v>DevelopmentFactoryActionPayload</v>
      </c>
      <c r="E18" s="40" t="str">
        <v>开工、取消、油罐交互由服务端事务处理。</v>
      </c>
      <c r="F18" s="40" t="str">
        <v>已实现</v>
      </c>
    </row>
    <row r="19" ht="48" customHeight="1">
      <c r="A19" s="40" t="str">
        <v>开发工厂</v>
      </c>
      <c r="B19" s="40" t="str">
        <v>客户端载荷</v>
      </c>
      <c r="C19" s="40" t="str">
        <v>piranport:development_factory_sync</v>
      </c>
      <c r="D19" s="40" t="str">
        <v>DevelopmentFactorySyncPayload</v>
      </c>
      <c r="E19" s="40" t="str">
        <v>同步唯一任务、进度和必要显示数据。</v>
      </c>
      <c r="F19" s="40" t="str">
        <v>已实现</v>
      </c>
    </row>
    <row r="20" ht="48" customHeight="1">
      <c r="A20" s="40" t="str">
        <v>开发工厂</v>
      </c>
      <c r="B20" s="40" t="str">
        <v>空桶有序配方序列化器</v>
      </c>
      <c r="C20" s="40" t="str">
        <v>piranport:empty_fuel_barrel_shaped</v>
      </c>
      <c r="D20" s="40" t="str">
        <v>EmptyFuelBarrelShapedRecipe.Serializer</v>
      </c>
      <c r="E20" s="40" t="str">
        <v>保留原版有序配方与查询，拒绝任何非空燃料桶，匹配无副作用。</v>
      </c>
      <c r="F20" s="40" t="str">
        <v>已实现</v>
      </c>
    </row>
    <row r="21" ht="48" customHeight="1">
      <c r="A21" t="str" s="40">
        <v>弹药生产线</v>
      </c>
      <c r="B21" t="str" s="40">
        <v>方块及BlockItem</v>
      </c>
      <c r="C21" t="str" s="40">
        <v>piranport:ammunition_factory</v>
      </c>
      <c r="D21" t="str" s="40">
        <v>AmmunitionFactoryBlock</v>
      </c>
      <c r="E21" t="str" s="40">
        <v>水平四向，硬度4、抗爆8，石镐及以上，堆叠1，禁止活塞推动。</v>
      </c>
      <c r="F21" s="40" t="inlineStr">
        <is>
          <t>已实现（0.1.103）</t>
        </is>
      </c>
    </row>
    <row r="22" ht="48" customHeight="1">
      <c r="A22" t="str" s="40">
        <v>弹药生产线</v>
      </c>
      <c r="B22" t="str" s="40">
        <v>方块实体</v>
      </c>
      <c r="C22" t="str" s="40">
        <v>piranport:ammunition_factory</v>
      </c>
      <c r="D22" t="str" s="40">
        <v>AmmunitionFactoryBlockEntity</v>
      </c>
      <c r="E22" t="str" s="40">
        <v>材料和产物各8格；唯一有限计划与当前批次，逐次事务。</v>
      </c>
      <c r="F22" s="40" t="inlineStr">
        <is>
          <t>已实现（0.1.103）</t>
        </is>
      </c>
    </row>
    <row r="23" ht="48" customHeight="1">
      <c r="A23" t="str" s="40">
        <v>弹药生产线</v>
      </c>
      <c r="B23" t="str" s="40">
        <v>菜单</v>
      </c>
      <c r="C23" t="str" s="40">
        <v>piranport:ammunition_factory</v>
      </c>
      <c r="D23" t="str" s="40">
        <v>AmmunitionFactoryMenu</v>
      </c>
      <c r="E23" t="str" s="40">
        <v>窗口浏览副本、库存与任务同步；最后关闭写回机器。</v>
      </c>
      <c r="F23" s="40" t="inlineStr">
        <is>
          <t>已实现（0.1.103）</t>
        </is>
      </c>
    </row>
    <row r="24" ht="48" customHeight="1">
      <c r="A24" t="str" s="40">
        <v>弹药生产线</v>
      </c>
      <c r="B24" t="str" s="40">
        <v>配方类型及序列化器</v>
      </c>
      <c r="C24" t="str" s="40">
        <v>piranport:ammunition_factory</v>
      </c>
      <c r="D24" t="str" s="40">
        <v>AmmunitionFactoryRecipe</v>
      </c>
      <c r="E24" s="40" t="inlineStr">
        <is>
          <t>目标、产量、铜钢铝粒、火药个数、秒；整计划快照。</t>
        </is>
      </c>
      <c r="F24" s="40" t="inlineStr">
        <is>
          <t>已实现（0.1.103）</t>
        </is>
      </c>
    </row>
    <row r="25" ht="48" customHeight="1">
      <c r="A25" t="str" s="40">
        <v>弹药生产线</v>
      </c>
      <c r="B25" t="str" s="40">
        <v>数据组件</v>
      </c>
      <c r="C25" t="str" s="40">
        <v>piranport:ammunition_factory_storage</v>
      </c>
      <c r="D25" t="str" s="40">
        <v>不可变缓存组件</v>
      </c>
      <c r="E25" t="str" s="40">
        <v>仅保存原料及产物缓存，不保存进度、次数、任务或浏览。</v>
      </c>
      <c r="F25" s="40" t="inlineStr">
        <is>
          <t>已实现（0.1.103）</t>
        </is>
      </c>
    </row>
    <row r="26" ht="48" customHeight="1">
      <c r="A26" t="str" s="40">
        <v>弹药生产线</v>
      </c>
      <c r="B26" t="str" s="40">
        <v>服务端载荷</v>
      </c>
      <c r="C26" t="str" s="40">
        <v>piranport:ammunition_factory_action</v>
      </c>
      <c r="D26" t="str" s="40">
        <v>AmmunitionFactoryActionPayload</v>
      </c>
      <c r="E26" t="str" s="40">
        <v>浏览、开始、中断；校验菜单距离、目标、数量与任务标识。</v>
      </c>
      <c r="F26" s="40" t="inlineStr">
        <is>
          <t>已实现（0.1.103）</t>
        </is>
      </c>
    </row>
    <row r="27" ht="48" customHeight="1">
      <c r="A27" t="str" s="40">
        <v>弹药生产线</v>
      </c>
      <c r="B27" t="str" s="40">
        <v>客户端载荷</v>
      </c>
      <c r="C27" t="str" s="40">
        <v>piranport:ammunition_factory_sync</v>
      </c>
      <c r="D27" t="str" s="40">
        <v>AmmunitionFactorySyncPayload</v>
      </c>
      <c r="E27" t="str" s="40">
        <v>同步缓存、计划、当前批次及进度，公共路径无客户端类。</v>
      </c>
      <c r="F27" s="40" t="inlineStr">
        <is>
          <t>已实现（0.1.103）</t>
        </is>
      </c>
    </row>
    <row r="28" ht="48" customHeight="1">
      <c r="A28" t="str" s="40">
        <v>弹药生产线</v>
      </c>
      <c r="B28" t="str" s="40">
        <v>音效复用</v>
      </c>
      <c r="C28" t="str" s="40">
        <v>piranport:shipyard_complete</v>
      </c>
      <c r="D28" t="str" s="40">
        <v>已有SoundEvent</v>
      </c>
      <c r="E28" t="str" s="40">
        <v>整计划结束或中断收尾播放一次，不逐批播放。</v>
      </c>
      <c r="F28" t="str" s="40">
        <v>音效已有；生产线接入未实现</v>
      </c>
    </row>
    <row r="29" ht="48" customHeight="1">
      <c r="A29" t="str" s="40">
        <v>铜粒</v>
      </c>
      <c r="B29" t="str" s="40">
        <v>物品及拆合配方</v>
      </c>
      <c r="C29" t="str" s="40">
        <v>piranport:copper_nugget</v>
      </c>
      <c r="D29" t="str" s="40">
        <v>普通Item与原版有序／无序配方</v>
      </c>
      <c r="E29" t="str" s="40">
        <v>堆叠64；铜锭拆9粒，9粒合原版铜锭，兼容c:材料标签。</v>
      </c>
      <c r="F29" s="40" t="inlineStr">
        <is>
          <t>已实现（0.1.103）</t>
        </is>
      </c>
    </row>
  </sheetData>
  <pageMargins left="0.7" right="0.7" top="0.75" bottom="0.75" header="0.3" footer="0.3"/>
  <tableParts count="1">
    <tablePart r:id="R9f6e5af4e2c24859"/>
  </tableParts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ySplit="1" topLeftCell="A2" activePane="bottomLeft" state="frozen"/>
    </sheetView>
  </sheetViews>
  <sheetFormatPr defaultRowHeight="15"/>
  <cols>
    <col min="1" max="1" width="43" hidden="0" customWidth="1"/>
    <col min="2" max="2" width="35" hidden="0" customWidth="1"/>
    <col min="3" max="3" width="47" hidden="0" customWidth="1"/>
    <col min="4" max="4" width="18" hidden="0" customWidth="1"/>
    <col min="5" max="5" width="100" hidden="0" customWidth="1"/>
    <col min="6" max="6" width="29" hidden="0" customWidth="1"/>
  </cols>
  <sheetData>
    <row r="1" ht="34" customHeight="1">
      <c r="A1" s="38" t="str">
        <v>参数ID</v>
      </c>
      <c r="B1" s="38" t="str">
        <v>名称</v>
      </c>
      <c r="C1" s="38" t="str">
        <v>数值／规则</v>
      </c>
      <c r="D1" s="38" t="str">
        <v>单位</v>
      </c>
      <c r="E1" s="38" t="str">
        <v>说明</v>
      </c>
      <c r="F1" s="38" t="str">
        <v>状态</v>
      </c>
    </row>
    <row r="2" ht="48" customHeight="1">
      <c r="A2" s="40" t="str">
        <v>workstations</v>
      </c>
      <c r="B2" s="40" t="str">
        <v>开发工位</v>
      </c>
      <c r="C2" s="40" t="n">
        <v>1</v>
      </c>
      <c r="D2" s="40" t="str">
        <v>个</v>
      </c>
      <c r="E2" s="40" t="str">
        <v>全部武器、设备、飞机及消耗品共用一套图纸、任务、进度和产物。</v>
      </c>
      <c r="F2" s="40" t="str">
        <v>已实现</v>
      </c>
    </row>
    <row r="3" ht="48" customHeight="1">
      <c r="A3" s="40" t="str">
        <v>material_slots</v>
      </c>
      <c r="B3" s="40" t="str">
        <v>材料缓存</v>
      </c>
      <c r="C3" s="40" t="n">
        <v>12</v>
      </c>
      <c r="D3" s="40" t="str">
        <v>格</v>
      </c>
      <c r="E3" s="40" t="inlineStr">
        <is>
          <t>4列×3行；接收八弹种及钢铝块、锭、粒，兼容c:标签。</t>
        </is>
      </c>
      <c r="F3" s="40" t="str">
        <v>已实现</v>
      </c>
    </row>
    <row r="4" ht="48" customHeight="1">
      <c r="A4" s="40" t="str">
        <v>fuel_capacity</v>
      </c>
      <c r="B4" s="40" t="str">
        <v>燃油容量</v>
      </c>
      <c r="C4" s="40" t="n">
        <v>16000</v>
      </c>
      <c r="D4" s="40" t="str">
        <v>mB</v>
      </c>
      <c r="E4" s="40" t="str">
        <v>仅本mod燃油，保留组件；与船坞32000 mB分别配置。</v>
      </c>
      <c r="F4" s="40" t="str">
        <v>已实现</v>
      </c>
    </row>
    <row r="5" ht="48" customHeight="1">
      <c r="A5" s="40" t="str">
        <v>blueprint_reserved</v>
      </c>
      <c r="B5" s="40" t="str">
        <v>任务预留图纸</v>
      </c>
      <c r="C5" s="40" t="n">
        <v>1</v>
      </c>
      <c r="D5" s="40" t="str">
        <v>张</v>
      </c>
      <c r="E5" s="40" t="str">
        <v>余量可取；补充须完整许可相同且正常可堆叠；禁整槽交换。</v>
      </c>
      <c r="F5" s="40" t="str">
        <v>已实现</v>
      </c>
    </row>
    <row r="6" ht="48" customHeight="1">
      <c r="A6" s="40" t="str">
        <v>blueprint_cost</v>
      </c>
      <c r="B6" s="40" t="str">
        <v>每任务图纸消耗</v>
      </c>
      <c r="C6" s="40" t="n">
        <v>1</v>
      </c>
      <c r="D6" s="40" t="str">
        <v>张</v>
      </c>
      <c r="E6" s="40" t="str">
        <v>完工扣除，取消不扣；快修一张产8个。</v>
      </c>
      <c r="F6" s="40" t="str">
        <v>已实现</v>
      </c>
    </row>
    <row r="7" ht="48" customHeight="1">
      <c r="A7" s="40" t="str">
        <v>ticks_per_second</v>
      </c>
      <c r="B7" s="40" t="str">
        <v>标准计时</v>
      </c>
      <c r="C7" s="40" t="n">
        <v>20</v>
      </c>
      <c r="D7" s="40" t="str">
        <v>tick/秒</v>
      </c>
      <c r="E7" s="40" t="str">
        <v>正常区块tick推进；关闭GUI不停止，卸载和停机不补时。</v>
      </c>
      <c r="F7" s="40" t="str">
        <v>已实现</v>
      </c>
    </row>
    <row r="8" ht="48" customHeight="1">
      <c r="A8" s="40" t="str">
        <v>gui_width</v>
      </c>
      <c r="B8" s="40" t="str">
        <v>GUI宽度</v>
      </c>
      <c r="C8" s="40" t="n">
        <v>384</v>
      </c>
      <c r="D8" s="40" t="str">
        <v>像素</v>
      </c>
      <c r="E8" s="40" t="str">
        <v>外置标签不占主体，低饱和灰蓝及默认字体。</v>
      </c>
      <c r="F8" s="40" t="str">
        <v>已实现</v>
      </c>
    </row>
    <row r="9" ht="48" customHeight="1">
      <c r="A9" s="40" t="str">
        <v>gui_height</v>
      </c>
      <c r="B9" s="40" t="str">
        <v>GUI高度</v>
      </c>
      <c r="C9" s="40" t="n">
        <v>252</v>
      </c>
      <c r="D9" s="40" t="str">
        <v>像素</v>
      </c>
      <c r="E9" s="40" t="str">
        <v>下半页燃油、材料和玩家物品栏保持分隔与对齐。</v>
      </c>
      <c r="F9" s="40" t="str">
        <v>已实现</v>
      </c>
    </row>
    <row r="10" ht="48" customHeight="1">
      <c r="A10" s="40" t="str">
        <v>preview_width</v>
      </c>
      <c r="B10" s="40" t="str">
        <v>预览宽度</v>
      </c>
      <c r="C10" s="40" t="n">
        <v>96</v>
      </c>
      <c r="D10" s="40" t="str">
        <v>像素</v>
      </c>
      <c r="E10" s="40" t="str">
        <v>左上横向装备预览，首阶段使用物品图标。</v>
      </c>
      <c r="F10" s="40" t="str">
        <v>已实现</v>
      </c>
    </row>
    <row r="11" ht="48" customHeight="1">
      <c r="A11" s="40" t="str">
        <v>preview_height</v>
      </c>
      <c r="B11" s="40" t="str">
        <v>预览高度</v>
      </c>
      <c r="C11" s="40" t="n">
        <v>48</v>
      </c>
      <c r="D11" s="40" t="str">
        <v>像素</v>
      </c>
      <c r="E11" s="40" t="str">
        <v>无浏览选择且无产物时为空，不显示玩家。</v>
      </c>
      <c r="F11" s="40" t="str">
        <v>已实现</v>
      </c>
    </row>
    <row r="12" ht="48" customHeight="1">
      <c r="A12" s="40" t="str">
        <v>tabs</v>
      </c>
      <c r="B12" s="40" t="str">
        <v>标签页</v>
      </c>
      <c r="C12" s="40" t="str">
        <v>装备开发／维修</v>
      </c>
      <c r="D12" s="40" t="str">
        <v>规则</v>
      </c>
      <c r="E12" s="40" t="str">
        <v>维修灰色锁定，悬浮尚未开发，无隐藏工位。</v>
      </c>
      <c r="F12" s="40" t="str">
        <v>界面已实现；维修锁定</v>
      </c>
    </row>
    <row r="13" ht="48" customHeight="1">
      <c r="A13" s="40" t="str">
        <v>task_status</v>
      </c>
      <c r="B13" s="40" t="str">
        <v>开发标签状态点</v>
      </c>
      <c r="C13" s="40" t="str">
        <v>橙点开发、绿点待取</v>
      </c>
      <c r="D13" s="40" t="str">
        <v>规则</v>
      </c>
      <c r="E13" s="40" t="str">
        <v>空闲无点，维修无点；任务名与箭头居中并显示[开发中]。</v>
      </c>
      <c r="F13" s="40" t="str">
        <v>已实现</v>
      </c>
    </row>
    <row r="14" ht="48" customHeight="1">
      <c r="A14" s="40" t="str">
        <v>list_rows</v>
      </c>
      <c r="B14" s="40" t="str">
        <v>列表最少可见行</v>
      </c>
      <c r="C14" s="40" t="n">
        <v>4</v>
      </c>
      <c r="D14" s="40" t="str">
        <v>行</v>
      </c>
      <c r="E14" s="40" t="str">
        <v>滚动条；可开发项稍浅灰底、突出按钮，受限项仍可预览。</v>
      </c>
      <c r="F14" s="40" t="str">
        <v>已实现</v>
      </c>
    </row>
    <row r="15" ht="48" customHeight="1">
      <c r="A15" s="40" t="str">
        <v>query_all</v>
      </c>
      <c r="B15" s="40" t="str">
        <v>显示全部</v>
      </c>
      <c r="C15" s="40" t="str">
        <v>固定全宽勾选条</v>
      </c>
      <c r="D15" s="40" t="str">
        <v>规则</v>
      </c>
      <c r="E15" s="40" t="str">
        <v>宽度含滚动条，右端搜索图标；无图纸可查询，不授予许可。</v>
      </c>
      <c r="F15" s="40" t="str">
        <v>已实现</v>
      </c>
    </row>
    <row r="16" ht="48" customHeight="1">
      <c r="A16" s="40" t="str">
        <v>filters</v>
      </c>
      <c r="B16" s="40" t="str">
        <v>筛选维度</v>
      </c>
      <c r="C16" s="40" t="str">
        <v>类别、文字</v>
      </c>
      <c r="D16" s="40" t="str">
        <v>规则</v>
      </c>
      <c r="E16" s="40" t="inlineStr">
        <is>
          <t>类别多选取并集，与文字取交集；摘要实时显示范围、类别及关键词；无细分筛选。</t>
        </is>
      </c>
      <c r="F16" s="40" t="str">
        <v>已实现</v>
      </c>
    </row>
    <row r="17" ht="48" customHeight="1">
      <c r="A17" s="40" t="str">
        <v>search_names</v>
      </c>
      <c r="B17" s="40" t="str">
        <v>文字搜索</v>
      </c>
      <c r="C17" s="40" t="str">
        <v>中英名称与别名</v>
      </c>
      <c r="D17" s="40" t="str">
        <v>规则</v>
      </c>
      <c r="E17" s="40" t="str">
        <v>忽略大小写，归一化全半角、空白和常用连接符。</v>
      </c>
      <c r="F17" s="40" t="str">
        <v>已实现</v>
      </c>
    </row>
    <row r="18" ht="48" customHeight="1">
      <c r="A18" s="40" t="str">
        <v>search_icon</v>
      </c>
      <c r="B18" s="40" t="str">
        <v>搜索图标</v>
      </c>
      <c r="C18" s="40" t="str">
        <v>有条件时改变外观</v>
      </c>
      <c r="D18" s="40" t="str">
        <v>规则</v>
      </c>
      <c r="E18" s="40" t="str">
        <v>左键打开草稿弹窗，右键清筛选并保留显示全部；返回丢弃草稿。</v>
      </c>
      <c r="F18" s="40" t="str">
        <v>已实现</v>
      </c>
    </row>
    <row r="19" ht="48" customHeight="1">
      <c r="A19" s="40" t="str">
        <v>preview_priority</v>
      </c>
      <c r="B19" s="40" t="str">
        <v>预览优先级</v>
      </c>
      <c r="C19" s="40" t="str">
        <v>主动选择、待取产物、空白</v>
      </c>
      <c r="D19" s="40" t="str">
        <v>规则</v>
      </c>
      <c r="E19" s="40" t="str">
        <v>切换浏览不改变任务；长名省略，任务后缀保持可辨。</v>
      </c>
      <c r="F19" s="40" t="str">
        <v>已实现</v>
      </c>
    </row>
    <row r="20" ht="48" customHeight="1">
      <c r="A20" s="40" t="str">
        <v>four_resources</v>
      </c>
      <c r="B20" s="40" t="str">
        <v>四资源消耗</v>
      </c>
      <c r="C20" s="40" t="str">
        <v>燃油、弹药、钢、铝</v>
      </c>
      <c r="D20" s="40" t="str">
        <v>设计规范</v>
      </c>
      <c r="E20" s="40" t="str">
        <v>首批每项均消耗一些，不增加必须全部大于零的合法性校验。</v>
      </c>
      <c r="F20" s="40" t="str">
        <v>首批已采用；不作硬校验</v>
      </c>
    </row>
    <row r="21" ht="48" customHeight="1">
      <c r="A21" s="40" t="str">
        <v>duration_guidance</v>
      </c>
      <c r="B21" s="40" t="str">
        <v>首批开发时间</v>
      </c>
      <c r="C21" s="40" t="str">
        <v>5–25</v>
      </c>
      <c r="D21" s="40" t="str">
        <v>秒</v>
      </c>
      <c r="E21" s="40" t="str">
        <v>逐项独立参数，不作为配方硬性范围或上限。</v>
      </c>
      <c r="F21" s="40" t="str">
        <v>首批已采用；不作硬校验</v>
      </c>
    </row>
    <row r="22" ht="48" customHeight="1">
      <c r="A22" s="40" t="str">
        <v>ammo_quantum</v>
      </c>
      <c r="B22" s="40" t="str">
        <v>配方弹药步长</v>
      </c>
      <c r="C22" s="40" t="n">
        <v>4</v>
      </c>
      <c r="D22" s="40" t="str">
        <v>点</v>
      </c>
      <c r="E22" s="40" t="str">
        <v>需求为4的倍数；材料值复用船坞1／2／2／4点。</v>
      </c>
      <c r="F22" s="40" t="str">
        <v>已实现</v>
      </c>
    </row>
    <row r="23" ht="48" customHeight="1">
      <c r="A23" s="40" t="str">
        <v>metal_change</v>
      </c>
      <c r="B23" s="40" t="str">
        <v>钢铝投入与找零</v>
      </c>
      <c r="C23" s="40" t="str">
        <v>先粒、锭、块</v>
      </c>
      <c r="D23" s="40" t="str">
        <v>规则</v>
      </c>
      <c r="E23" s="40" t="str">
        <v>块81粒，锭9粒；精确扣除，找零为本mod锭、粒。</v>
      </c>
      <c r="F23" s="40" t="str">
        <v>已实现</v>
      </c>
    </row>
    <row r="24" ht="48" customHeight="1">
      <c r="A24" s="40" t="str">
        <v>ammo_consumption</v>
      </c>
      <c r="B24" s="40" t="str">
        <v>弹药投入</v>
      </c>
      <c r="C24" s="40" t="inlineStr">
        <is>
          <t>按缓存顺序整枚取整</t>
        </is>
      </c>
      <c r="D24" s="40" t="str">
        <v>规则</v>
      </c>
      <c r="E24" s="40" t="str">
        <v>不寻找最省组合，无弹药找零，取消退原种类数量组件。</v>
      </c>
      <c r="F24" s="40" t="str">
        <v>已实现</v>
      </c>
    </row>
    <row r="25" ht="48" customHeight="1">
      <c r="A25" s="40" t="str">
        <v>cancel_confirmation</v>
      </c>
      <c r="B25" s="40" t="str">
        <v>取消确认</v>
      </c>
      <c r="C25" s="42" t="b">
        <v>1</v>
      </c>
      <c r="D25" s="40" t="str">
        <v>开关</v>
      </c>
      <c r="E25" s="40" t="str">
        <v>紧凑居中，默认返回，确认绑定任务ID；显示预计燃油损失。</v>
      </c>
      <c r="F25" s="40" t="str">
        <v>已实现</v>
      </c>
    </row>
    <row r="26" ht="48" customHeight="1">
      <c r="A26" s="40" t="str">
        <v>item_overflow</v>
      </c>
      <c r="B26" s="40" t="str">
        <v>物品溢出</v>
      </c>
      <c r="C26" s="40" t="str">
        <v>缓存、操作者背包、掉落</v>
      </c>
      <c r="D26" s="40" t="str">
        <v>规则</v>
      </c>
      <c r="E26" s="40" t="str">
        <v>找零不阻止开工；取消返还净钢铝和原弹药。</v>
      </c>
      <c r="F26" s="40" t="str">
        <v>已实现</v>
      </c>
    </row>
    <row r="27" ht="48" customHeight="1">
      <c r="A27" s="40" t="str">
        <v>fuel_refund_overflow</v>
      </c>
      <c r="B27" s="40" t="str">
        <v>燃油退款溢出</v>
      </c>
      <c r="C27" s="40" t="str">
        <v>销毁无法容纳部分</v>
      </c>
      <c r="D27" s="40" t="str">
        <v>规则</v>
      </c>
      <c r="E27" s="40" t="str">
        <v>退原燃油及组件，超容或不相容部分销毁，确认时提示。</v>
      </c>
      <c r="F27" s="40" t="str">
        <v>已实现</v>
      </c>
    </row>
    <row r="28" ht="48" customHeight="1">
      <c r="A28" s="40" t="str">
        <v>auto_repeat</v>
      </c>
      <c r="B28" s="40" t="str">
        <v>自动续做</v>
      </c>
      <c r="C28" s="42" t="b">
        <v>0</v>
      </c>
      <c r="D28" s="40" t="str">
        <v>开关</v>
      </c>
      <c r="E28" s="40" t="str">
        <v>每次手动开工；快修8个是单次产量，不是8个排队任务。</v>
      </c>
      <c r="F28" s="40" t="str">
        <v>已实现</v>
      </c>
    </row>
    <row r="29" ht="48" customHeight="1">
      <c r="A29" s="40" t="str">
        <v>output_pending</v>
      </c>
      <c r="B29" s="40" t="str">
        <v>待取产物时开工</v>
      </c>
      <c r="C29" s="42" t="b">
        <v>0</v>
      </c>
      <c r="D29" s="40" t="str">
        <v>开关</v>
      </c>
      <c r="E29" s="40" t="str">
        <v>开发按钮可点但只提示取走；相同可堆叠物品也不继续做。</v>
      </c>
      <c r="F29" s="40" t="str">
        <v>已实现</v>
      </c>
    </row>
    <row r="30" ht="48" customHeight="1">
      <c r="A30" s="40" t="str">
        <v>task_snapshot</v>
      </c>
      <c r="B30" s="40" t="str">
        <v>开工快照</v>
      </c>
      <c r="C30" s="40" t="str">
        <v>目标、数量、费用、时长</v>
      </c>
      <c r="D30" s="40" t="str">
        <v>规则</v>
      </c>
      <c r="E30" s="40" t="str">
        <v>数据包刷新只影响新单，任务不绑定玩家。</v>
      </c>
      <c r="F30" s="40" t="str">
        <v>已实现</v>
      </c>
    </row>
    <row r="31" ht="48" customHeight="1">
      <c r="A31" s="40" t="str">
        <v>durable_output</v>
      </c>
      <c r="B31" s="40" t="str">
        <v>耐久装备成品</v>
      </c>
      <c r="C31" s="40" t="str">
        <v>满耐久，飞机空油</v>
      </c>
      <c r="D31" s="40" t="str">
        <v>规则</v>
      </c>
      <c r="E31" s="40" t="str">
        <v>制造燃油成本不灌入飞机油箱；不生成伪战斗参数。</v>
      </c>
      <c r="F31" s="40" t="str">
        <v>已实现</v>
      </c>
    </row>
    <row r="32" ht="48" customHeight="1">
      <c r="A32" s="40" t="str">
        <v>quick_repair_output</v>
      </c>
      <c r="B32" s="40" t="str">
        <v>快修每次产量</v>
      </c>
      <c r="C32" s="40" t="n">
        <v>8</v>
      </c>
      <c r="D32" s="40" t="str">
        <v>个</v>
      </c>
      <c r="E32" s="40" t="str">
        <v>一张图纸，800 mB、32点、8钢、8铝、5秒。</v>
      </c>
      <c r="F32" s="40" t="str">
        <v>已实现</v>
      </c>
    </row>
    <row r="33" ht="48" customHeight="1">
      <c r="A33" s="40" t="str">
        <v>damage_control_output</v>
      </c>
      <c r="B33" s="40" t="str">
        <v>损管每次产量</v>
      </c>
      <c r="C33" s="40" t="n">
        <v>1</v>
      </c>
      <c r="D33" s="40" t="str">
        <v>个</v>
      </c>
      <c r="E33" s="40" t="str">
        <v>一张图纸，800 mB、12点、6钢、4铝、15秒。</v>
      </c>
      <c r="F33" s="40" t="str">
        <v>已实现</v>
      </c>
    </row>
    <row r="34" ht="48" customHeight="1">
      <c r="A34" s="40" t="str">
        <v>quick_repair_stack</v>
      </c>
      <c r="B34" s="40" t="str">
        <v>快修物品及设备槽上限</v>
      </c>
      <c r="C34" s="40" t="n">
        <v>64</v>
      </c>
      <c r="D34" s="40" t="str">
        <v>个</v>
      </c>
      <c r="E34" s="40" t="str">
        <v>普通消耗品，无型号身份、耐久和属性修正。</v>
      </c>
      <c r="F34" s="40" t="str">
        <v>已实现</v>
      </c>
    </row>
    <row r="35" ht="48" customHeight="1">
      <c r="A35" s="40" t="str">
        <v>damage_control_stack</v>
      </c>
      <c r="B35" s="40" t="str">
        <v>损管物品及设备槽上限</v>
      </c>
      <c r="C35" s="40" t="n">
        <v>16</v>
      </c>
      <c r="D35" s="40" t="str">
        <v>个</v>
      </c>
      <c r="E35" s="40" t="str">
        <v>普通消耗品，无作战配置和主动效果；实际免死另议。</v>
      </c>
      <c r="F35" s="40" t="str">
        <v>已实现</v>
      </c>
    </row>
    <row r="36" ht="48" customHeight="1">
      <c r="A36" s="40" t="str">
        <v>allowQuickRepairFromPlayerInventory</v>
      </c>
      <c r="B36" s="40" t="str">
        <v>是否允许直接消耗玩家背包中的快修</v>
      </c>
      <c r="C36" s="42" t="b">
        <v>0</v>
      </c>
      <c r="D36" s="40" t="str">
        <v>COMMON</v>
      </c>
      <c r="E36" s="40" t="str">
        <v>设备栏缺少时才按开关读取玩家快捷栏和主物品栏36格。</v>
      </c>
      <c r="F36" s="40" t="str">
        <v>配置已实现；触发未接入</v>
      </c>
    </row>
    <row r="37" ht="48" customHeight="1">
      <c r="A37" s="40" t="str">
        <v>allowDamageControlFromPlayerInventory</v>
      </c>
      <c r="B37" s="40" t="str">
        <v>是否允许直接消耗玩家背包中的损管</v>
      </c>
      <c r="C37" s="42" t="b">
        <v>0</v>
      </c>
      <c r="D37" s="40" t="str">
        <v>COMMON</v>
      </c>
      <c r="E37" s="40" t="str">
        <v>两个开关独立；均默认关闭，不改变设备栏优先顺序。</v>
      </c>
      <c r="F37" s="40" t="str">
        <v>配置已实现；触发未接入</v>
      </c>
    </row>
    <row r="38" ht="48" customHeight="1">
      <c r="A38" s="40" t="str">
        <v>consumable_lookup</v>
      </c>
      <c r="B38" s="40" t="str">
        <v>未来消耗查找</v>
      </c>
      <c r="C38" s="40" t="str">
        <v>核心设备栏优先</v>
      </c>
      <c r="D38" s="40" t="str">
        <v>规则</v>
      </c>
      <c r="E38" s="40" t="str">
        <v>触发时查找，不扫副手、其他玩家、嵌套容器，不逐tick扫描。</v>
      </c>
      <c r="F38" s="40" t="str">
        <v>设计已定；触发另议</v>
      </c>
    </row>
    <row r="39" ht="48" customHeight="1">
      <c r="A39" s="40" t="str">
        <v>consumable_effects</v>
      </c>
      <c r="B39" s="40" t="str">
        <v>快修与损管用途</v>
      </c>
      <c r="C39" s="40" t="str">
        <v>缺血回复／死亡抵消</v>
      </c>
      <c r="D39" s="40" t="str">
        <v>规则</v>
      </c>
      <c r="E39" s="40" t="str">
        <v>触发阈值、回复量、免死后血量、冷却与结算顺序待设计，不写入物品。</v>
      </c>
      <c r="F39" s="40" t="str">
        <v>触发未实现</v>
      </c>
    </row>
    <row r="40" ht="48" customHeight="1">
      <c r="A40" s="40" t="str">
        <v>break_behavior</v>
      </c>
      <c r="B40" s="40" t="str">
        <v>拆除行为</v>
      </c>
      <c r="C40" s="40" t="str">
        <v>生存保留，创造散落</v>
      </c>
      <c r="D40" s="40" t="str">
        <v>规则</v>
      </c>
      <c r="E40" s="40" t="str">
        <v>先取消退款解锁；生存携带缓存，创造不掉方块、燃油清除。</v>
      </c>
      <c r="F40" s="40" t="str">
        <v>已实现</v>
      </c>
    </row>
    <row r="41" ht="48" customHeight="1">
      <c r="A41" s="40" t="str">
        <v>top_io</v>
      </c>
      <c r="B41" s="40" t="str">
        <v>顶部接口</v>
      </c>
      <c r="C41" s="40" t="str">
        <v>图纸输入输出</v>
      </c>
      <c r="D41" s="40" t="str">
        <v>规则</v>
      </c>
      <c r="E41" s="40" t="str">
        <v>遵守预留及补充限制，顶部无流体能力。</v>
      </c>
      <c r="F41" s="40" t="str">
        <v>已实现</v>
      </c>
    </row>
    <row r="42" ht="48" customHeight="1">
      <c r="A42" s="40" t="str">
        <v>side_io</v>
      </c>
      <c r="B42" s="40" t="str">
        <v>四侧接口</v>
      </c>
      <c r="C42" s="40" t="str">
        <v>材料输入输出，优先产物</v>
      </c>
      <c r="D42" s="40" t="str">
        <v>规则</v>
      </c>
      <c r="E42" s="40" t="str">
        <v>物品优先抽产物，再抽材料；燃油双向。</v>
      </c>
      <c r="F42" s="40" t="str">
        <v>已实现</v>
      </c>
    </row>
    <row r="43" ht="48" customHeight="1">
      <c r="A43" s="40" t="str">
        <v>bottom_io</v>
      </c>
      <c r="B43" s="40" t="str">
        <v>底部接口</v>
      </c>
      <c r="C43" s="40" t="str">
        <v>只输出产物</v>
      </c>
      <c r="D43" s="40" t="str">
        <v>规则</v>
      </c>
      <c r="E43" s="40" t="str">
        <v>允许燃油双向，禁止材料和图纸物品接口。</v>
      </c>
      <c r="F43" s="40" t="str">
        <v>已实现</v>
      </c>
    </row>
    <row r="44" ht="48" customHeight="1">
      <c r="A44" s="40" t="str">
        <v>gui_fuel</v>
      </c>
      <c r="B44" s="40" t="str">
        <v>GUI燃油容器</v>
      </c>
      <c r="C44" s="40" t="str">
        <v>左键注入、右键取出</v>
      </c>
      <c r="D44" s="40" t="str">
        <v>规则</v>
      </c>
      <c r="E44" s="40" t="str">
        <v>鼠标携带容器在储罐区交互，尝试最大合法量，普通桶整桶。</v>
      </c>
      <c r="F44" s="40" t="str">
        <v>已实现</v>
      </c>
    </row>
    <row r="45" ht="48" customHeight="1">
      <c r="A45" s="40" t="str">
        <v>world_fuel</v>
      </c>
      <c r="B45" s="40" t="str">
        <v>世界右键燃油容器</v>
      </c>
      <c r="C45" s="40" t="str">
        <v>未满注入、已满取出</v>
      </c>
      <c r="D45" s="40" t="str">
        <v>规则</v>
      </c>
      <c r="E45" s="40" t="str">
        <v>以开始状态决定单一方向；成功不打开GUI，失败打开。</v>
      </c>
      <c r="F45" s="40" t="str">
        <v>已实现</v>
      </c>
    </row>
    <row r="46" ht="48" customHeight="1">
      <c r="A46" s="40" t="str">
        <v>aircraft_fuel</v>
      </c>
      <c r="B46" s="40" t="str">
        <v>飞机加取油</v>
      </c>
      <c r="C46" s="40" t="str">
        <v>使用现有物品流体能力</v>
      </c>
      <c r="D46" s="40" t="str">
        <v>规则</v>
      </c>
      <c r="E46" s="40" t="str">
        <v>允许通过储罐交互补油、取油，不增加专用槽。</v>
      </c>
      <c r="F46" s="40" t="str">
        <v>已实现</v>
      </c>
    </row>
    <row r="47" ht="48" customHeight="1">
      <c r="A47" s="40" t="str">
        <v>browse_state</v>
      </c>
      <c r="B47" s="40" t="str">
        <v>浏览保存</v>
      </c>
      <c r="C47" s="40" t="str">
        <v>最后关闭窗口</v>
      </c>
      <c r="D47" s="40" t="str">
        <v>规则</v>
      </c>
      <c r="E47" s="40" t="str">
        <v>玩家独立浏览，机器保存最后关闭者的状态，无玩家UUID。</v>
      </c>
      <c r="F47" s="40" t="str">
        <v>已实现</v>
      </c>
    </row>
    <row r="48" ht="48" customHeight="1">
      <c r="A48" s="40" t="str">
        <v>completion_sound</v>
      </c>
      <c r="B48" s="40" t="str">
        <v>完成音效</v>
      </c>
      <c r="C48" s="40" t="str">
        <v>piranport:shipyard_complete</v>
      </c>
      <c r="D48" s="40" t="str">
        <v>已有资源</v>
      </c>
      <c r="E48" s="40" t="str">
        <v>复用common_craft_success；实际完工一次，约16格。</v>
      </c>
      <c r="F48" s="40" t="str">
        <v>已实现</v>
      </c>
    </row>
    <row r="49" ht="48" customHeight="1">
      <c r="A49" s="40" t="str">
        <v>block_recipe</v>
      </c>
      <c r="B49" s="40" t="str">
        <v>工厂方块合成</v>
      </c>
      <c r="C49" s="40" t="str">
        <v>SAS/BCP/SAS</v>
      </c>
      <c r="D49" s="40" t="str">
        <v>配方</v>
      </c>
      <c r="E49" s="40" t="str">
        <v>4钢、2铝、1空燃料桶、1工作台、1活塞；桶内燃油必须为空。</v>
      </c>
      <c r="F49" s="40" t="str">
        <v>已实现</v>
      </c>
    </row>
    <row r="50" ht="48" customHeight="1">
      <c r="A50"/>
      <c r="B50"/>
      <c r="C50"/>
      <c r="D50"/>
      <c r="E50"/>
      <c r="F50"/>
    </row>
    <row r="53" ht="32" customHeight="1">
      <c r="A53" t="str">
        <v>规则来源</v>
      </c>
      <c r="B53" t="str">
        <v>3.2.3-开发工厂-实现方案.md；已有船坞行为见3.2.2-船坞-实现方案.md。</v>
      </c>
    </row>
  </sheetData>
  <mergeCells>
    <mergeCell ref="B53:F53"/>
  </mergeCells>
  <pageMargins left="0.7" right="0.7" top="0.75" bottom="0.75" header="0.3" footer="0.3"/>
  <tableParts count="1">
    <tablePart r:id="R4b64df956fa24c74"/>
  </tableParts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showGridLines="0" workbookViewId="0">
      <pane xSplit="2" ySplit="1" topLeftCell="C2" activePane="bottomRight" state="frozen"/>
    </sheetView>
  </sheetViews>
  <sheetFormatPr defaultRowHeight="15"/>
  <cols>
    <col min="1" max="1" width="43" hidden="0" customWidth="1"/>
    <col min="2" max="2" width="45" hidden="0" customWidth="1"/>
    <col min="3" max="3" width="9" hidden="0" customWidth="1"/>
    <col min="4" max="4" width="18" hidden="0" customWidth="1"/>
    <col min="5" max="5" width="12" hidden="0" customWidth="1"/>
    <col min="6" max="6" width="11" hidden="0" customWidth="1"/>
    <col min="7" max="7" width="11" hidden="0" customWidth="1"/>
    <col min="8" max="8" width="15" hidden="0" customWidth="1"/>
    <col min="9" max="9" width="11" hidden="0" customWidth="1"/>
    <col min="10" max="10" width="10" hidden="0" customWidth="1"/>
    <col min="11" max="11" width="10" hidden="0" customWidth="1"/>
    <col min="12" max="12" width="11" hidden="0" customWidth="1"/>
    <col min="13" max="13" width="14" hidden="0" customWidth="1"/>
    <col min="14" max="14" width="19" hidden="0" customWidth="1"/>
    <col min="15" max="15" width="26" hidden="0" customWidth="1"/>
  </cols>
  <sheetData>
    <row r="1" ht="34" customHeight="1">
      <c r="A1" s="38" t="str">
        <v>产物标识</v>
      </c>
      <c r="B1" s="38" t="str">
        <v>名称</v>
      </c>
      <c r="C1" s="38" t="str">
        <v>分组</v>
      </c>
      <c r="D1" s="38" t="str">
        <v>类别</v>
      </c>
      <c r="E1" s="38" t="str">
        <v>产物类型</v>
      </c>
      <c r="F1" s="38" t="str">
        <v>每次产量</v>
      </c>
      <c r="G1" s="38" t="str">
        <v>图纸张数</v>
      </c>
      <c r="H1" s="38" t="str">
        <v>燃油(mB)</v>
      </c>
      <c r="I1" s="38" t="str">
        <v>弹药点</v>
      </c>
      <c r="J1" s="38" t="str">
        <v>钢锭</v>
      </c>
      <c r="K1" s="38" t="str">
        <v>铝锭</v>
      </c>
      <c r="L1" s="38" t="str">
        <v>开发秒</v>
      </c>
      <c r="M1" s="38" t="str">
        <v>进度tick</v>
      </c>
      <c r="N1" s="38" t="inlineStr">
        <is>
          <t>高爆弹等价枚数</t>
        </is>
      </c>
      <c r="O1" s="38" t="str">
        <v>状态</v>
      </c>
    </row>
    <row r="2" ht="48" customHeight="1">
      <c r="A2" s="40" t="str">
        <v>piranport:experimental_coilgun</v>
      </c>
      <c r="B2" s="40" t="str">
        <v>神秘武器</v>
      </c>
      <c r="C2" s="40" t="str">
        <v>武器</v>
      </c>
      <c r="D2" s="40" t="str">
        <v>主炮</v>
      </c>
      <c r="E2" s="40" t="str">
        <v>型号</v>
      </c>
      <c r="F2" s="44" t="n">
        <v>1</v>
      </c>
      <c r="G2" s="44" t="n">
        <v>1</v>
      </c>
      <c r="H2" s="44" t="n">
        <v>800</v>
      </c>
      <c r="I2" s="44" t="n">
        <v>16</v>
      </c>
      <c r="J2" s="44" t="n">
        <v>6</v>
      </c>
      <c r="K2" s="44" t="n">
        <v>8</v>
      </c>
      <c r="L2" s="44" t="n">
        <v>20</v>
      </c>
      <c r="M2" s="44" t="n">
        <f>L2*'开发工厂参数'!$C$7</f>
        <v>400</v>
      </c>
      <c r="N2" s="44" t="n">
        <f>I2/'船坞参数'!$C$10</f>
        <v>8</v>
      </c>
      <c r="O2" s="40" t="str">
        <v>已实现</v>
      </c>
    </row>
    <row r="3" ht="48" customHeight="1">
      <c r="A3" s="40" t="str">
        <v>piranport:british_twin_mkn5_6in</v>
      </c>
      <c r="B3" s="40" t="str">
        <v>英国双联MK.N5型6英寸高平速射炮</v>
      </c>
      <c r="C3" s="40" t="str">
        <v>武器</v>
      </c>
      <c r="D3" s="40" t="str">
        <v>主炮</v>
      </c>
      <c r="E3" s="40" t="str">
        <v>型号</v>
      </c>
      <c r="F3" s="44" t="n">
        <v>1</v>
      </c>
      <c r="G3" s="44" t="n">
        <v>1</v>
      </c>
      <c r="H3" s="44" t="n">
        <v>400</v>
      </c>
      <c r="I3" s="44" t="n">
        <v>8</v>
      </c>
      <c r="J3" s="44" t="n">
        <v>6</v>
      </c>
      <c r="K3" s="44" t="n">
        <v>2</v>
      </c>
      <c r="L3" s="44" t="n">
        <v>10</v>
      </c>
      <c r="M3" s="44" t="n">
        <f>L3*'开发工厂参数'!$C$7</f>
        <v>200</v>
      </c>
      <c r="N3" s="44" t="n">
        <f>I3/'船坞参数'!$C$10</f>
        <v>4</v>
      </c>
      <c r="O3" s="40" t="str">
        <v>已实现</v>
      </c>
    </row>
    <row r="4" ht="48" customHeight="1">
      <c r="A4" s="40" t="str">
        <v>piranport:us_triple_mk16_8in</v>
      </c>
      <c r="B4" s="40" t="str">
        <v>MK.16三联8英寸自动炮</v>
      </c>
      <c r="C4" s="40" t="str">
        <v>武器</v>
      </c>
      <c r="D4" s="40" t="str">
        <v>主炮</v>
      </c>
      <c r="E4" s="40" t="str">
        <v>型号</v>
      </c>
      <c r="F4" s="44" t="n">
        <v>1</v>
      </c>
      <c r="G4" s="44" t="n">
        <v>1</v>
      </c>
      <c r="H4" s="44" t="n">
        <v>600</v>
      </c>
      <c r="I4" s="44" t="n">
        <v>12</v>
      </c>
      <c r="J4" s="44" t="n">
        <v>8</v>
      </c>
      <c r="K4" s="44" t="n">
        <v>2</v>
      </c>
      <c r="L4" s="44" t="n">
        <v>15</v>
      </c>
      <c r="M4" s="44" t="n">
        <f>L4*'开发工厂参数'!$C$7</f>
        <v>300</v>
      </c>
      <c r="N4" s="44" t="n">
        <f>I4/'船坞参数'!$C$10</f>
        <v>6</v>
      </c>
      <c r="O4" s="40" t="str">
        <v>已实现</v>
      </c>
    </row>
    <row r="5" ht="48" customHeight="1">
      <c r="A5" s="40" t="str">
        <v>piranport:us_triple_mk6_16in</v>
      </c>
      <c r="B5" s="40" t="str">
        <v>美国三联16英寸炮(MK6)</v>
      </c>
      <c r="C5" s="40" t="str">
        <v>武器</v>
      </c>
      <c r="D5" s="40" t="str">
        <v>主炮</v>
      </c>
      <c r="E5" s="40" t="str">
        <v>型号</v>
      </c>
      <c r="F5" s="44" t="n">
        <v>1</v>
      </c>
      <c r="G5" s="44" t="n">
        <v>1</v>
      </c>
      <c r="H5" s="44" t="n">
        <v>1000</v>
      </c>
      <c r="I5" s="44" t="n">
        <v>24</v>
      </c>
      <c r="J5" s="44" t="n">
        <v>14</v>
      </c>
      <c r="K5" s="44" t="n">
        <v>2</v>
      </c>
      <c r="L5" s="44" t="n">
        <v>25</v>
      </c>
      <c r="M5" s="44" t="n">
        <f>L5*'开发工厂参数'!$C$7</f>
        <v>500</v>
      </c>
      <c r="N5" s="44" t="n">
        <f>I5/'船坞参数'!$C$10</f>
        <v>12</v>
      </c>
      <c r="O5" s="40" t="str">
        <v>已实现</v>
      </c>
    </row>
    <row r="6" ht="48" customHeight="1">
      <c r="A6" s="40" t="str">
        <v>piranport:italian_triple_381mm</v>
      </c>
      <c r="B6" s="40" t="str">
        <v>意大利三联381毫米炮</v>
      </c>
      <c r="C6" s="40" t="str">
        <v>武器</v>
      </c>
      <c r="D6" s="40" t="str">
        <v>主炮</v>
      </c>
      <c r="E6" s="40" t="str">
        <v>型号</v>
      </c>
      <c r="F6" s="44" t="n">
        <v>1</v>
      </c>
      <c r="G6" s="44" t="n">
        <v>1</v>
      </c>
      <c r="H6" s="44" t="n">
        <v>1000</v>
      </c>
      <c r="I6" s="44" t="n">
        <v>24</v>
      </c>
      <c r="J6" s="44" t="n">
        <v>12</v>
      </c>
      <c r="K6" s="44" t="n">
        <v>4</v>
      </c>
      <c r="L6" s="44" t="n">
        <v>25</v>
      </c>
      <c r="M6" s="44" t="n">
        <f>L6*'开发工厂参数'!$C$7</f>
        <v>500</v>
      </c>
      <c r="N6" s="44" t="n">
        <f>I6/'船坞参数'!$C$10</f>
        <v>12</v>
      </c>
      <c r="O6" s="40" t="str">
        <v>已实现</v>
      </c>
    </row>
    <row r="7" ht="48" customHeight="1">
      <c r="A7" s="40" t="str">
        <v>piranport:japanese_sextuple_610mm</v>
      </c>
      <c r="B7" s="40" t="str">
        <v>日本六联61厘米鱼雷</v>
      </c>
      <c r="C7" s="40" t="str">
        <v>武器</v>
      </c>
      <c r="D7" s="40" t="str">
        <v>鱼雷发射器</v>
      </c>
      <c r="E7" s="40" t="str">
        <v>型号</v>
      </c>
      <c r="F7" s="44" t="n">
        <v>1</v>
      </c>
      <c r="G7" s="44" t="n">
        <v>1</v>
      </c>
      <c r="H7" s="44" t="n">
        <v>400</v>
      </c>
      <c r="I7" s="44" t="n">
        <v>12</v>
      </c>
      <c r="J7" s="44" t="n">
        <v>4</v>
      </c>
      <c r="K7" s="44" t="n">
        <v>2</v>
      </c>
      <c r="L7" s="44" t="n">
        <v>10</v>
      </c>
      <c r="M7" s="44" t="n">
        <f>L7*'开发工厂参数'!$C$7</f>
        <v>200</v>
      </c>
      <c r="N7" s="44" t="n">
        <f>I7/'船坞参数'!$C$10</f>
        <v>6</v>
      </c>
      <c r="O7" s="40" t="str">
        <v>已实现</v>
      </c>
    </row>
    <row r="8" ht="48" customHeight="1">
      <c r="A8" s="40" t="str">
        <v>piranport:g7e_t10_submarine</v>
      </c>
      <c r="B8" s="40" t="str">
        <v>G7eT10线导鱼雷(潜艇)</v>
      </c>
      <c r="C8" s="40" t="str">
        <v>武器</v>
      </c>
      <c r="D8" s="40" t="str">
        <v>鱼雷发射器</v>
      </c>
      <c r="E8" s="40" t="str">
        <v>型号</v>
      </c>
      <c r="F8" s="44" t="n">
        <v>1</v>
      </c>
      <c r="G8" s="44" t="n">
        <v>1</v>
      </c>
      <c r="H8" s="44" t="n">
        <v>500</v>
      </c>
      <c r="I8" s="44" t="n">
        <v>12</v>
      </c>
      <c r="J8" s="44" t="n">
        <v>3</v>
      </c>
      <c r="K8" s="44" t="n">
        <v>4</v>
      </c>
      <c r="L8" s="44" t="n">
        <v>15</v>
      </c>
      <c r="M8" s="44" t="n">
        <f>L8*'开发工厂参数'!$C$7</f>
        <v>300</v>
      </c>
      <c r="N8" s="44" t="n">
        <f>I8/'船坞参数'!$C$10</f>
        <v>6</v>
      </c>
      <c r="O8" s="40" t="str">
        <v>已实现</v>
      </c>
    </row>
    <row r="9" ht="48" customHeight="1">
      <c r="A9" s="40" t="str">
        <v>piranport:hedgehog_projector</v>
      </c>
      <c r="B9" s="40" t="str">
        <v>刺猬弹深弹投射器</v>
      </c>
      <c r="C9" s="40" t="str">
        <v>武器</v>
      </c>
      <c r="D9" s="40" t="str">
        <v>深弹投射器</v>
      </c>
      <c r="E9" s="40" t="str">
        <v>型号</v>
      </c>
      <c r="F9" s="44" t="n">
        <v>1</v>
      </c>
      <c r="G9" s="44" t="n">
        <v>1</v>
      </c>
      <c r="H9" s="44" t="n">
        <v>300</v>
      </c>
      <c r="I9" s="44" t="n">
        <v>8</v>
      </c>
      <c r="J9" s="44" t="n">
        <v>4</v>
      </c>
      <c r="K9" s="44" t="n">
        <v>1</v>
      </c>
      <c r="L9" s="44" t="n">
        <v>10</v>
      </c>
      <c r="M9" s="44" t="n">
        <f>L9*'开发工厂参数'!$C$7</f>
        <v>200</v>
      </c>
      <c r="N9" s="44" t="n">
        <f>I9/'船坞参数'!$C$10</f>
        <v>4</v>
      </c>
      <c r="O9" s="40" t="str">
        <v>已实现</v>
      </c>
    </row>
    <row r="10" ht="48" customHeight="1">
      <c r="A10" s="40" t="str">
        <v>piranport:sy1_launcher</v>
      </c>
      <c r="B10" s="40" t="str">
        <v>上游-1发射器</v>
      </c>
      <c r="C10" s="40" t="str">
        <v>武器</v>
      </c>
      <c r="D10" s="40" t="str">
        <v>导弹发射器</v>
      </c>
      <c r="E10" s="40" t="str">
        <v>型号</v>
      </c>
      <c r="F10" s="44" t="n">
        <v>1</v>
      </c>
      <c r="G10" s="44" t="n">
        <v>1</v>
      </c>
      <c r="H10" s="44" t="n">
        <v>800</v>
      </c>
      <c r="I10" s="44" t="n">
        <v>20</v>
      </c>
      <c r="J10" s="44" t="n">
        <v>6</v>
      </c>
      <c r="K10" s="44" t="n">
        <v>6</v>
      </c>
      <c r="L10" s="44" t="n">
        <v>20</v>
      </c>
      <c r="M10" s="44" t="n">
        <f>L10*'开发工厂参数'!$C$7</f>
        <v>400</v>
      </c>
      <c r="N10" s="44" t="n">
        <f>I10/'船坞参数'!$C$10</f>
        <v>10</v>
      </c>
      <c r="O10" s="40" t="str">
        <v>已实现</v>
      </c>
    </row>
    <row r="11" ht="48" customHeight="1">
      <c r="A11" s="40" t="str">
        <v>piranport:mk10_launcher</v>
      </c>
      <c r="B11" s="40" t="str">
        <v>MK-10导弹发射器</v>
      </c>
      <c r="C11" s="40" t="str">
        <v>武器</v>
      </c>
      <c r="D11" s="40" t="str">
        <v>导弹发射器</v>
      </c>
      <c r="E11" s="40" t="str">
        <v>型号</v>
      </c>
      <c r="F11" s="44" t="n">
        <v>1</v>
      </c>
      <c r="G11" s="44" t="n">
        <v>1</v>
      </c>
      <c r="H11" s="44" t="n">
        <v>800</v>
      </c>
      <c r="I11" s="44" t="n">
        <v>20</v>
      </c>
      <c r="J11" s="44" t="n">
        <v>6</v>
      </c>
      <c r="K11" s="44" t="n">
        <v>6</v>
      </c>
      <c r="L11" s="44" t="n">
        <v>20</v>
      </c>
      <c r="M11" s="44" t="n">
        <f>L11*'开发工厂参数'!$C$7</f>
        <v>400</v>
      </c>
      <c r="N11" s="44" t="n">
        <f>I11/'船坞参数'!$C$10</f>
        <v>10</v>
      </c>
      <c r="O11" s="40" t="str">
        <v>已实现</v>
      </c>
    </row>
    <row r="12" ht="48" customHeight="1">
      <c r="A12" s="40" t="str">
        <v>piranport:additional_armor_small</v>
      </c>
      <c r="B12" s="40" t="str">
        <v>附加装甲（小型）</v>
      </c>
      <c r="C12" s="40" t="str">
        <v>设备</v>
      </c>
      <c r="D12" s="40" t="str">
        <v>装甲</v>
      </c>
      <c r="E12" s="40" t="str">
        <v>型号</v>
      </c>
      <c r="F12" s="44" t="n">
        <v>1</v>
      </c>
      <c r="G12" s="44" t="n">
        <v>1</v>
      </c>
      <c r="H12" s="44" t="n">
        <v>100</v>
      </c>
      <c r="I12" s="44" t="n">
        <v>4</v>
      </c>
      <c r="J12" s="44" t="n">
        <v>4</v>
      </c>
      <c r="K12" s="44" t="n">
        <v>1</v>
      </c>
      <c r="L12" s="44" t="n">
        <v>5</v>
      </c>
      <c r="M12" s="44" t="n">
        <f>L12*'开发工厂参数'!$C$7</f>
        <v>100</v>
      </c>
      <c r="N12" s="44" t="n">
        <f>I12/'船坞参数'!$C$10</f>
        <v>2</v>
      </c>
      <c r="O12" s="40" t="str">
        <v>已实现</v>
      </c>
    </row>
    <row r="13" ht="48" customHeight="1">
      <c r="A13" s="40" t="str">
        <v>piranport:additional_armor_medium</v>
      </c>
      <c r="B13" s="40" t="str">
        <v>附加装甲（中型）</v>
      </c>
      <c r="C13" s="40" t="str">
        <v>设备</v>
      </c>
      <c r="D13" s="40" t="str">
        <v>装甲</v>
      </c>
      <c r="E13" s="40" t="str">
        <v>型号</v>
      </c>
      <c r="F13" s="44" t="n">
        <v>1</v>
      </c>
      <c r="G13" s="44" t="n">
        <v>1</v>
      </c>
      <c r="H13" s="44" t="n">
        <v>200</v>
      </c>
      <c r="I13" s="44" t="n">
        <v>4</v>
      </c>
      <c r="J13" s="44" t="n">
        <v>8</v>
      </c>
      <c r="K13" s="44" t="n">
        <v>1</v>
      </c>
      <c r="L13" s="44" t="n">
        <v>10</v>
      </c>
      <c r="M13" s="44" t="n">
        <f>L13*'开发工厂参数'!$C$7</f>
        <v>200</v>
      </c>
      <c r="N13" s="44" t="n">
        <f>I13/'船坞参数'!$C$10</f>
        <v>2</v>
      </c>
      <c r="O13" s="40" t="str">
        <v>已实现</v>
      </c>
    </row>
    <row r="14" ht="48" customHeight="1">
      <c r="A14" s="40" t="str">
        <v>piranport:additional_armor_large</v>
      </c>
      <c r="B14" s="40" t="str">
        <v>附加装甲（大型）</v>
      </c>
      <c r="C14" s="40" t="str">
        <v>设备</v>
      </c>
      <c r="D14" s="40" t="str">
        <v>装甲</v>
      </c>
      <c r="E14" s="40" t="str">
        <v>型号</v>
      </c>
      <c r="F14" s="44" t="n">
        <v>1</v>
      </c>
      <c r="G14" s="44" t="n">
        <v>1</v>
      </c>
      <c r="H14" s="44" t="n">
        <v>400</v>
      </c>
      <c r="I14" s="44" t="n">
        <v>8</v>
      </c>
      <c r="J14" s="44" t="n">
        <v>16</v>
      </c>
      <c r="K14" s="44" t="n">
        <v>2</v>
      </c>
      <c r="L14" s="44" t="n">
        <v>15</v>
      </c>
      <c r="M14" s="44" t="n">
        <f>L14*'开发工厂参数'!$C$7</f>
        <v>300</v>
      </c>
      <c r="N14" s="44" t="n">
        <f>I14/'船坞参数'!$C$10</f>
        <v>4</v>
      </c>
      <c r="O14" s="40" t="str">
        <v>已实现</v>
      </c>
    </row>
    <row r="15" ht="48" customHeight="1">
      <c r="A15" s="40" t="str">
        <v>piranport:advanced_propulsion</v>
      </c>
      <c r="B15" s="40" t="str">
        <v>先进型动力系统</v>
      </c>
      <c r="C15" s="40" t="str">
        <v>设备</v>
      </c>
      <c r="D15" s="40" t="str">
        <v>动力系统</v>
      </c>
      <c r="E15" s="40" t="str">
        <v>型号</v>
      </c>
      <c r="F15" s="44" t="n">
        <v>1</v>
      </c>
      <c r="G15" s="44" t="n">
        <v>1</v>
      </c>
      <c r="H15" s="44" t="n">
        <v>600</v>
      </c>
      <c r="I15" s="44" t="n">
        <v>4</v>
      </c>
      <c r="J15" s="44" t="n">
        <v>8</v>
      </c>
      <c r="K15" s="44" t="n">
        <v>4</v>
      </c>
      <c r="L15" s="44" t="n">
        <v>15</v>
      </c>
      <c r="M15" s="44" t="n">
        <f>L15*'开发工厂参数'!$C$7</f>
        <v>300</v>
      </c>
      <c r="N15" s="44" t="n">
        <f>I15/'船坞参数'!$C$10</f>
        <v>2</v>
      </c>
      <c r="O15" s="40" t="str">
        <v>已实现</v>
      </c>
    </row>
    <row r="16" ht="48" customHeight="1">
      <c r="A16" s="40" t="str">
        <v>piranport:advanced_radar</v>
      </c>
      <c r="B16" s="40" t="str">
        <v>先进型雷达</v>
      </c>
      <c r="C16" s="40" t="str">
        <v>设备</v>
      </c>
      <c r="D16" s="40" t="str">
        <v>雷达</v>
      </c>
      <c r="E16" s="40" t="str">
        <v>型号</v>
      </c>
      <c r="F16" s="44" t="n">
        <v>1</v>
      </c>
      <c r="G16" s="44" t="n">
        <v>1</v>
      </c>
      <c r="H16" s="44" t="n">
        <v>500</v>
      </c>
      <c r="I16" s="44" t="n">
        <v>4</v>
      </c>
      <c r="J16" s="44" t="n">
        <v>2</v>
      </c>
      <c r="K16" s="44" t="n">
        <v>8</v>
      </c>
      <c r="L16" s="44" t="n">
        <v>15</v>
      </c>
      <c r="M16" s="44" t="n">
        <f>L16*'开发工厂参数'!$C$7</f>
        <v>300</v>
      </c>
      <c r="N16" s="44" t="n">
        <f>I16/'船坞参数'!$C$10</f>
        <v>2</v>
      </c>
      <c r="O16" s="40" t="str">
        <v>已实现</v>
      </c>
    </row>
    <row r="17" ht="48" customHeight="1">
      <c r="A17" s="40" t="str">
        <v>piranport:advanced_sonar</v>
      </c>
      <c r="B17" s="40" t="str">
        <v>先进型声纳</v>
      </c>
      <c r="C17" s="40" t="str">
        <v>设备</v>
      </c>
      <c r="D17" s="40" t="str">
        <v>声呐</v>
      </c>
      <c r="E17" s="40" t="str">
        <v>型号</v>
      </c>
      <c r="F17" s="44" t="n">
        <v>1</v>
      </c>
      <c r="G17" s="44" t="n">
        <v>1</v>
      </c>
      <c r="H17" s="44" t="n">
        <v>300</v>
      </c>
      <c r="I17" s="44" t="n">
        <v>4</v>
      </c>
      <c r="J17" s="44" t="n">
        <v>2</v>
      </c>
      <c r="K17" s="44" t="n">
        <v>4</v>
      </c>
      <c r="L17" s="44" t="n">
        <v>10</v>
      </c>
      <c r="M17" s="44" t="n">
        <f>L17*'开发工厂参数'!$C$7</f>
        <v>200</v>
      </c>
      <c r="N17" s="44" t="n">
        <f>I17/'船坞参数'!$C$10</f>
        <v>2</v>
      </c>
      <c r="O17" s="40" t="str">
        <v>已实现</v>
      </c>
    </row>
    <row r="18" ht="48" customHeight="1">
      <c r="A18" s="40" t="str">
        <v>piranport:quick_repair</v>
      </c>
      <c r="B18" s="40" t="str">
        <v>快速修理工具组</v>
      </c>
      <c r="C18" s="40" t="str">
        <v>设备</v>
      </c>
      <c r="D18" s="40" t="str">
        <v>快修</v>
      </c>
      <c r="E18" s="40" t="str">
        <v>物品</v>
      </c>
      <c r="F18" s="44" t="n">
        <v>8</v>
      </c>
      <c r="G18" s="44" t="n">
        <v>1</v>
      </c>
      <c r="H18" s="44" t="n">
        <v>800</v>
      </c>
      <c r="I18" s="44" t="n">
        <v>32</v>
      </c>
      <c r="J18" s="44" t="n">
        <v>8</v>
      </c>
      <c r="K18" s="44" t="n">
        <v>8</v>
      </c>
      <c r="L18" s="44" t="n">
        <v>5</v>
      </c>
      <c r="M18" s="44" t="n">
        <f>L18*'开发工厂参数'!$C$7</f>
        <v>100</v>
      </c>
      <c r="N18" s="44" t="n">
        <f>I18/'船坞参数'!$C$10</f>
        <v>16</v>
      </c>
      <c r="O18" s="40" t="str">
        <v>已实现</v>
      </c>
    </row>
    <row r="19" ht="48" customHeight="1">
      <c r="A19" s="40" t="str">
        <v>piranport:damage_control</v>
      </c>
      <c r="B19" s="40" t="str">
        <v>损害管制工具组</v>
      </c>
      <c r="C19" s="40" t="str">
        <v>设备</v>
      </c>
      <c r="D19" s="40" t="str">
        <v>损管</v>
      </c>
      <c r="E19" s="40" t="str">
        <v>物品</v>
      </c>
      <c r="F19" s="44" t="n">
        <v>1</v>
      </c>
      <c r="G19" s="44" t="n">
        <v>1</v>
      </c>
      <c r="H19" s="44" t="n">
        <v>800</v>
      </c>
      <c r="I19" s="44" t="n">
        <v>12</v>
      </c>
      <c r="J19" s="44" t="n">
        <v>6</v>
      </c>
      <c r="K19" s="44" t="n">
        <v>4</v>
      </c>
      <c r="L19" s="44" t="n">
        <v>15</v>
      </c>
      <c r="M19" s="44" t="n">
        <f>L19*'开发工厂参数'!$C$7</f>
        <v>300</v>
      </c>
      <c r="N19" s="44" t="n">
        <f>I19/'船坞参数'!$C$10</f>
        <v>6</v>
      </c>
      <c r="O19" s="40" t="str">
        <v>已实现</v>
      </c>
    </row>
    <row r="20" ht="48" customHeight="1">
      <c r="A20" s="40" t="str">
        <v>piranport:us_twin_3in_secondary</v>
      </c>
      <c r="B20" s="40" t="str">
        <v>美国双联3英寸副炮</v>
      </c>
      <c r="C20" s="40" t="str">
        <v>设备</v>
      </c>
      <c r="D20" s="40" t="str">
        <v>副炮</v>
      </c>
      <c r="E20" s="40" t="str">
        <v>型号</v>
      </c>
      <c r="F20" s="44" t="n">
        <v>1</v>
      </c>
      <c r="G20" s="44" t="n">
        <v>1</v>
      </c>
      <c r="H20" s="44" t="n">
        <v>400</v>
      </c>
      <c r="I20" s="44" t="n">
        <v>8</v>
      </c>
      <c r="J20" s="44" t="n">
        <v>6</v>
      </c>
      <c r="K20" s="44" t="n">
        <v>2</v>
      </c>
      <c r="L20" s="44" t="n">
        <v>10</v>
      </c>
      <c r="M20" s="44" t="n">
        <f>L20*'开发工厂参数'!$C$7</f>
        <v>200</v>
      </c>
      <c r="N20" s="44" t="n">
        <f>I20/'船坞参数'!$C$10</f>
        <v>4</v>
      </c>
      <c r="O20" s="40" t="str">
        <v>已实现</v>
      </c>
    </row>
    <row r="21" ht="48" customHeight="1">
      <c r="A21" s="40" t="str">
        <v>piranport:phantom_fg1</v>
      </c>
      <c r="B21" s="40" t="str">
        <v>“鬼怪”FG.1战斗机</v>
      </c>
      <c r="C21" s="40" t="str">
        <v>飞机</v>
      </c>
      <c r="D21" s="40" t="str">
        <v>战斗机</v>
      </c>
      <c r="E21" s="40" t="str">
        <v>型号</v>
      </c>
      <c r="F21" s="44" t="n">
        <v>1</v>
      </c>
      <c r="G21" s="44" t="n">
        <v>1</v>
      </c>
      <c r="H21" s="44" t="n">
        <v>1000</v>
      </c>
      <c r="I21" s="44" t="n">
        <v>12</v>
      </c>
      <c r="J21" s="44" t="n">
        <v>4</v>
      </c>
      <c r="K21" s="44" t="n">
        <v>12</v>
      </c>
      <c r="L21" s="44" t="n">
        <v>25</v>
      </c>
      <c r="M21" s="44" t="n">
        <f>L21*'开发工厂参数'!$C$7</f>
        <v>500</v>
      </c>
      <c r="N21" s="44" t="n">
        <f>I21/'船坞参数'!$C$10</f>
        <v>6</v>
      </c>
      <c r="O21" s="40" t="str">
        <v>已实现</v>
      </c>
    </row>
    <row r="22" ht="48" customHeight="1">
      <c r="A22" s="40" t="str">
        <v>piranport:b25_doolittle</v>
      </c>
      <c r="B22" s="40" t="str">
        <v>B-25(杜立特队)</v>
      </c>
      <c r="C22" s="40" t="str">
        <v>飞机</v>
      </c>
      <c r="D22" s="40" t="str">
        <v>轰炸机</v>
      </c>
      <c r="E22" s="40" t="str">
        <v>型号</v>
      </c>
      <c r="F22" s="44" t="n">
        <v>1</v>
      </c>
      <c r="G22" s="44" t="n">
        <v>1</v>
      </c>
      <c r="H22" s="44" t="n">
        <v>600</v>
      </c>
      <c r="I22" s="44" t="n">
        <v>12</v>
      </c>
      <c r="J22" s="44" t="n">
        <v>4</v>
      </c>
      <c r="K22" s="44" t="n">
        <v>8</v>
      </c>
      <c r="L22" s="44" t="n">
        <v>15</v>
      </c>
      <c r="M22" s="44" t="n">
        <f>L22*'开发工厂参数'!$C$7</f>
        <v>300</v>
      </c>
      <c r="N22" s="44" t="n">
        <f>I22/'船坞参数'!$C$10</f>
        <v>6</v>
      </c>
      <c r="O22" s="40" t="str">
        <v>已实现</v>
      </c>
    </row>
    <row r="23" ht="48" customHeight="1">
      <c r="A23" s="40" t="str">
        <v>piranport:tu91</v>
      </c>
      <c r="B23" s="40" t="str">
        <v>图-91</v>
      </c>
      <c r="C23" s="40" t="str">
        <v>飞机</v>
      </c>
      <c r="D23" s="40" t="str">
        <v>鱼雷机</v>
      </c>
      <c r="E23" s="40" t="str">
        <v>型号</v>
      </c>
      <c r="F23" s="44" t="n">
        <v>1</v>
      </c>
      <c r="G23" s="44" t="n">
        <v>1</v>
      </c>
      <c r="H23" s="44" t="n">
        <v>800</v>
      </c>
      <c r="I23" s="44" t="n">
        <v>16</v>
      </c>
      <c r="J23" s="44" t="n">
        <v>4</v>
      </c>
      <c r="K23" s="44" t="n">
        <v>10</v>
      </c>
      <c r="L23" s="44" t="n">
        <v>20</v>
      </c>
      <c r="M23" s="44" t="n">
        <f>L23*'开发工厂参数'!$C$7</f>
        <v>400</v>
      </c>
      <c r="N23" s="44" t="n">
        <f>I23/'船坞参数'!$C$10</f>
        <v>8</v>
      </c>
      <c r="O23" s="40" t="str">
        <v>已实现</v>
      </c>
    </row>
    <row r="24" ht="48" customHeight="1">
      <c r="A24" s="40" t="str">
        <v>piranport:c6n_saiun</v>
      </c>
      <c r="B24" s="40" t="str">
        <v>彩云</v>
      </c>
      <c r="C24" s="40" t="str">
        <v>飞机</v>
      </c>
      <c r="D24" s="40" t="str">
        <v>侦察机</v>
      </c>
      <c r="E24" s="40" t="str">
        <v>型号</v>
      </c>
      <c r="F24" s="44" t="n">
        <v>1</v>
      </c>
      <c r="G24" s="44" t="n">
        <v>1</v>
      </c>
      <c r="H24" s="44" t="n">
        <v>400</v>
      </c>
      <c r="I24" s="44" t="n">
        <v>4</v>
      </c>
      <c r="J24" s="44" t="n">
        <v>2</v>
      </c>
      <c r="K24" s="44" t="n">
        <v>6</v>
      </c>
      <c r="L24" s="44" t="n">
        <v>10</v>
      </c>
      <c r="M24" s="44" t="n">
        <f>L24*'开发工厂参数'!$C$7</f>
        <v>200</v>
      </c>
      <c r="N24" s="44" t="n">
        <f>I24/'船坞参数'!$C$10</f>
        <v>2</v>
      </c>
      <c r="O24" s="40" t="str">
        <v>已实现</v>
      </c>
    </row>
    <row r="27" ht="32" customHeight="1">
      <c r="A27" t="str">
        <v>费用口径</v>
      </c>
      <c r="B27" t="str">
        <v>每行是一项任务总成本，均消耗1张图纸。快修产8个，其余1个。23项已写入运行配方；数据包可调整。</v>
      </c>
    </row>
  </sheetData>
  <mergeCells>
    <mergeCell ref="B27:O27"/>
  </mergeCells>
  <pageMargins left="0.7" right="0.7" top="0.75" bottom="0.75" header="0.3" footer="0.3"/>
  <tableParts count="1">
    <tablePart r:id="R338bea9d625c42a0"/>
  </tableParts>
</worksheet>
</file>

<file path=xl/worksheets/sheet12.xml><?xml version="1.0" encoding="utf-8"?>
<worksheet xmlns="http://schemas.openxmlformats.org/spreadsheetml/2006/main" xmlns:r="http://schemas.openxmlformats.org/officeDocument/2006/relationships">
  <dimension ref="A1:F44"/>
  <sheetViews>
    <sheetView showGridLines="0" workbookViewId="0">
      <pane ySplit="1" topLeftCell="A2" activePane="bottomLeft" state="frozen"/>
    </sheetView>
  </sheetViews>
  <sheetFormatPr defaultRowHeight="15"/>
  <cols>
    <col min="1" max="1" width="43" customWidth="1"/>
    <col min="2" max="2" width="35" customWidth="1"/>
    <col min="3" max="3" width="47" customWidth="1"/>
    <col min="4" max="4" width="18" customWidth="1"/>
    <col min="5" max="5" width="100" customWidth="1"/>
    <col min="6" max="6" width="29" customWidth="1"/>
  </cols>
  <sheetData>
    <row r="1" ht="34" customHeight="1">
      <c r="A1" s="38" t="str">
        <v>参数ID</v>
      </c>
      <c r="B1" s="38" t="str">
        <v>名称</v>
      </c>
      <c r="C1" s="38" t="str">
        <v>数值／规则</v>
      </c>
      <c r="D1" s="38" t="str">
        <v>单位</v>
      </c>
      <c r="E1" s="38" t="str">
        <v>说明</v>
      </c>
      <c r="F1" s="38" t="str">
        <v>状态</v>
      </c>
    </row>
    <row r="2" ht="48" customHeight="1">
      <c r="A2" s="40" t="str">
        <v>workstations</v>
      </c>
      <c r="B2" s="40" t="str">
        <v>加工工位</v>
      </c>
      <c r="C2" s="44" t="n">
        <v>1</v>
      </c>
      <c r="D2" s="40" t="str">
        <v>个</v>
      </c>
      <c r="E2" s="40" t="str">
        <v>一台一次运行一种弹药的有限计划，不建立异种排队。</v>
      </c>
      <c r="F2" s="40" t="inlineStr">
        <is>
          <t>已实现（0.1.103）</t>
        </is>
      </c>
    </row>
    <row r="3" ht="48" customHeight="1">
      <c r="A3" s="40" t="str">
        <v>material_slots</v>
      </c>
      <c r="B3" s="40" t="str">
        <v>材料缓存</v>
      </c>
      <c r="C3" s="44" t="n">
        <v>8</v>
      </c>
      <c r="D3" s="40" t="str">
        <v>格</v>
      </c>
      <c r="E3" s="40" t="str">
        <v>4列×2行；铜、钢、铝接受块锭粒，另接收原版火药；不接收铁或弹药。</v>
      </c>
      <c r="F3" s="40" t="inlineStr">
        <is>
          <t>已实现（0.1.103）</t>
        </is>
      </c>
    </row>
    <row r="4" ht="48" customHeight="1">
      <c r="A4" s="40" t="str">
        <v>product_slots</v>
      </c>
      <c r="B4" s="40" t="str">
        <v>产物缓存</v>
      </c>
      <c r="C4" s="44" t="n">
        <v>8</v>
      </c>
      <c r="D4" s="40" t="str">
        <v>格</v>
      </c>
      <c r="E4" s="40" t="str">
        <v>4列×2行；混放不同弹种，GUI和外部只能取，不能向产物槽插入。</v>
      </c>
      <c r="F4" s="40" t="inlineStr">
        <is>
          <t>已实现（0.1.103）</t>
        </is>
      </c>
    </row>
    <row r="5" ht="48" customHeight="1">
      <c r="A5" s="40" t="str">
        <v>energy_source</v>
      </c>
      <c r="B5" s="40" t="str">
        <v>动力与燃油</v>
      </c>
      <c r="C5" s="40" t="str">
        <v>无</v>
      </c>
      <c r="D5" s="40" t="str">
        <v>规则</v>
      </c>
      <c r="E5" s="40" t="str">
        <v>不要求电力、燃油、燃烧燃料，不建立隐含流体库存。</v>
      </c>
      <c r="F5" s="40" t="inlineStr">
        <is>
          <t>已实现（0.1.103）</t>
        </is>
      </c>
    </row>
    <row r="6" ht="48" customHeight="1">
      <c r="A6" s="40" t="str">
        <v>blueprint_cost</v>
      </c>
      <c r="B6" s="40" t="str">
        <v>图纸消耗</v>
      </c>
      <c r="C6" s="44" t="n">
        <v>0</v>
      </c>
      <c r="D6" s="40" t="str">
        <v>张</v>
      </c>
      <c r="E6" s="40" t="str">
        <v>没有图纸槽和个人解锁。</v>
      </c>
      <c r="F6" s="40" t="inlineStr">
        <is>
          <t>已实现（0.1.103）</t>
        </is>
      </c>
    </row>
    <row r="7" ht="48" customHeight="1">
      <c r="A7" s="40" t="str">
        <v>ticks_per_second</v>
      </c>
      <c r="B7" s="40" t="str">
        <v>标准计时</v>
      </c>
      <c r="C7" s="44" t="n">
        <v>20</v>
      </c>
      <c r="D7" s="40" t="str">
        <v>tick/秒</v>
      </c>
      <c r="E7" s="40" t="str">
        <v>正常区块tick推进；关闭GUI不停止，卸载、重启不补算离线时间。</v>
      </c>
      <c r="F7" s="40" t="inlineStr">
        <is>
          <t>已实现（0.1.103）</t>
        </is>
      </c>
    </row>
    <row r="8" ht="48" customHeight="1">
      <c r="A8" s="40" t="str">
        <v>gui_width</v>
      </c>
      <c r="B8" s="40" t="str">
        <v>界面宽度</v>
      </c>
      <c r="C8" s="44" t="n">
        <v>348</v>
      </c>
      <c r="D8" s="40" t="str">
        <v>逻辑像素</v>
      </c>
      <c r="E8" s="40" t="str">
        <v>沿用现有制造设施背景和边框。</v>
      </c>
      <c r="F8" s="40" t="inlineStr">
        <is>
          <t>已实现（0.1.103）</t>
        </is>
      </c>
    </row>
    <row r="9" ht="48" customHeight="1">
      <c r="A9" s="40" t="str">
        <v>gui_height</v>
      </c>
      <c r="B9" s="40" t="str">
        <v>界面高度</v>
      </c>
      <c r="C9" s="44" t="n">
        <v>252</v>
      </c>
      <c r="D9" s="40" t="str">
        <v>逻辑像素</v>
      </c>
      <c r="E9" s="40" t="str">
        <v>无外置标签、无模型预览。</v>
      </c>
      <c r="F9" s="40" t="inlineStr">
        <is>
          <t>已实现（0.1.103）</t>
        </is>
      </c>
    </row>
    <row r="10" ht="48" customHeight="1">
      <c r="A10" s="40" t="str">
        <v>default_target</v>
      </c>
      <c r="B10" s="40" t="str">
        <v>首次默认弹种</v>
      </c>
      <c r="C10" s="40" t="str">
        <v>high_explosive_shell</v>
      </c>
      <c r="D10" s="40" t="str">
        <v>标识</v>
      </c>
      <c r="E10" s="40" t="str">
        <v>首次高爆弹，后续读取最后关闭窗口写回的一份机器浏览状态。</v>
      </c>
      <c r="F10" s="40" t="inlineStr">
        <is>
          <t>已实现（0.1.103）</t>
        </is>
      </c>
    </row>
    <row r="11" ht="48" customHeight="1">
      <c r="A11" s="40" t="str">
        <v>default_demand</v>
      </c>
      <c r="B11" s="40" t="str">
        <v>首次需求模式</v>
      </c>
      <c r="C11" s="40" t="str">
        <v>单次需求</v>
      </c>
      <c r="D11" s="40" t="str">
        <v>规则</v>
      </c>
      <c r="E11" s="40" t="inlineStr">
        <is>
          <t>标题下方设分隔线；18逻辑像素宽的两档滑动开关切换单次需求、总需求。</t>
        </is>
      </c>
      <c r="F11" s="40" t="inlineStr">
        <is>
          <t>已实现（0.1.103）</t>
        </is>
      </c>
    </row>
    <row r="12" ht="48" customHeight="1">
      <c r="A12" s="40" t="str">
        <v>quantity_unit</v>
      </c>
      <c r="B12" s="40" t="str">
        <v>数量输入单位</v>
      </c>
      <c r="C12" s="40" t="inlineStr">
        <is>
          <t>枚</t>
        </is>
      </c>
      <c r="D12" s="40" t="str">
        <v>规则</v>
      </c>
      <c r="E12" s="40" t="inlineStr">
        <is>
          <t>炮弹与深弹4枚/次；鱼雷与导弹1枚/次，步长跟随单次产量；数量文字居中。</t>
        </is>
      </c>
      <c r="F12" s="40" t="inlineStr">
        <is>
          <t>已实现（0.1.103）</t>
        </is>
      </c>
    </row>
    <row r="13" ht="48" customHeight="1">
      <c r="A13" s="40" t="str">
        <v>quantity_correction</v>
      </c>
      <c r="B13" s="40" t="str">
        <v>输入校正</v>
      </c>
      <c r="C13" s="40" t="str">
        <v>向上补足一批，再限制到材料上限</v>
      </c>
      <c r="D13" s="40" t="str">
        <v>规则</v>
      </c>
      <c r="E13" s="40" t="inlineStr">
        <is>
          <t>5枚炮弹修正8枚；仅能产4枚时限制为4枚；空白、0、负数不能开工。</t>
        </is>
      </c>
      <c r="F13" s="40" t="inlineStr">
        <is>
          <t>已实现（0.1.103）</t>
        </is>
      </c>
    </row>
    <row r="14" ht="48" customHeight="1">
      <c r="A14" s="40" t="str">
        <v>quantity_cap</v>
      </c>
      <c r="B14" s="40" t="inlineStr">
        <is>
          <t>计划枚数上限</t>
        </is>
      </c>
      <c r="C14" s="40" t="str">
        <v>按当前原料计算完整加工次数</v>
      </c>
      <c r="D14" s="40" t="str">
        <v>规则</v>
      </c>
      <c r="E14" s="40" t="str">
        <v>排除零费用项后计算最小可做次数，再乘产量；服务端开工重新校正。</v>
      </c>
      <c r="F14" s="40" t="inlineStr">
        <is>
          <t>已实现（0.1.103）</t>
        </is>
      </c>
    </row>
    <row r="15" ht="48" customHeight="1">
      <c r="A15" s="40" t="str">
        <v>draft_vs_job</v>
      </c>
      <c r="B15" s="40" t="str">
        <v>草稿与任务</v>
      </c>
      <c r="C15" s="40" t="str">
        <v>浏览可改，运行计划冻结</v>
      </c>
      <c r="D15" s="40" t="str">
        <v>规则</v>
      </c>
      <c r="E15" s="40" t="str">
        <v>缓存变化只更新上限与可开工状态，不自动改输入；提交或开工时校正。</v>
      </c>
      <c r="F15" s="40" t="inlineStr">
        <is>
          <t>已实现（0.1.103）</t>
        </is>
      </c>
    </row>
    <row r="16" ht="48" customHeight="1">
      <c r="A16" s="40" t="str">
        <v>demand_follows</v>
      </c>
      <c r="B16" s="40" t="str">
        <v>需求跟随</v>
      </c>
      <c r="C16" s="40" t="str">
        <v>浏览弹种、输入框和滑条</v>
      </c>
      <c r="D16" s="40" t="str">
        <v>规则</v>
      </c>
      <c r="E16" s="40" t="str">
        <v>总需求不随已完成数量或剩余次数递减；不锁定实际任务弹种。</v>
      </c>
      <c r="F16" s="40" t="inlineStr">
        <is>
          <t>已实现（0.1.103）</t>
        </is>
      </c>
    </row>
    <row r="17" ht="48" customHeight="1">
      <c r="A17" s="40" t="str">
        <v>metal_display</v>
      </c>
      <c r="B17" s="40" t="str">
        <v>金属显示</v>
      </c>
      <c r="C17" s="40" t="str">
        <v>只显示非0锭粒，零需求整行隐藏</v>
      </c>
      <c r="D17" s="40" t="str">
        <v>规则</v>
      </c>
      <c r="E17" s="40" t="str">
        <v>83粒显示9锭2粒；36粒显示4锭；4粒显示4粒；不换算块。</v>
      </c>
      <c r="F17" s="40" t="inlineStr">
        <is>
          <t>已实现（0.1.103）</t>
        </is>
      </c>
    </row>
    <row r="18" ht="48" customHeight="1">
      <c r="A18" s="40" t="str">
        <v>charge_timing</v>
      </c>
      <c r="B18" s="40" t="str">
        <v>原料扣除</v>
      </c>
      <c r="C18" s="40" t="str">
        <v>每次实际开始加工时</v>
      </c>
      <c r="D18" s="40" t="str">
        <v>规则</v>
      </c>
      <c r="E18" s="40" t="str">
        <v>只投入当前一次，不预扣后续、不锁原料；失败或模拟无副作用。</v>
      </c>
      <c r="F18" s="40" t="inlineStr">
        <is>
          <t>已实现（0.1.103）</t>
        </is>
      </c>
    </row>
    <row r="19" ht="48" customHeight="1">
      <c r="A19" s="40" t="str">
        <v>metal_order</v>
      </c>
      <c r="B19" s="40" t="str">
        <v>金属扣除顺序</v>
      </c>
      <c r="C19" s="40" t="str">
        <v>粒、锭、块</v>
      </c>
      <c r="D19" s="40" t="str">
        <v>规则</v>
      </c>
      <c r="E19" s="40" t="inlineStr">
        <is>
          <t>同规格按缓存栏位顺序消耗；找零为原版铜锭、本模组铜粒及钢铝锭粒。</t>
        </is>
      </c>
      <c r="F19" s="40" t="inlineStr">
        <is>
          <t>已实现（0.1.103）</t>
        </is>
      </c>
    </row>
    <row r="20" ht="48" customHeight="1">
      <c r="A20" s="40" t="str">
        <v>change_overflow</v>
      </c>
      <c r="B20" s="40" t="str">
        <v>找零溢出</v>
      </c>
      <c r="C20" s="40" t="str">
        <v>缓存、四侧相邻接收接口、掉落</v>
      </c>
      <c r="D20" s="40" t="str">
        <v>规则</v>
      </c>
      <c r="E20" s="40" t="str">
        <v>按实际剩余量处理；不占产物槽，不塞玩家背包，不因找零放不下停产。</v>
      </c>
      <c r="F20" s="40" t="inlineStr">
        <is>
          <t>已实现（0.1.103）</t>
        </is>
      </c>
    </row>
    <row r="21" ht="48" customHeight="1">
      <c r="A21" s="40" t="str">
        <v>completion</v>
      </c>
      <c r="B21" s="40" t="str">
        <v>批次完工</v>
      </c>
      <c r="C21" s="40" t="str">
        <v>整批入库一次</v>
      </c>
      <c r="D21" s="40" t="str">
        <v>规则</v>
      </c>
      <c r="E21" s="40" t="inlineStr">
        <is>
          <t>开始前检查本批全部产物空间；入库成功后才计完成枚数与次数。</t>
        </is>
      </c>
      <c r="F21" s="40" t="inlineStr">
        <is>
          <t>已实现（0.1.103）</t>
        </is>
      </c>
    </row>
    <row r="22" ht="48" customHeight="1">
      <c r="A22" s="40" t="str">
        <v>pause_materials</v>
      </c>
      <c r="B22" s="40" t="str">
        <v>后续缺料</v>
      </c>
      <c r="C22" s="40" t="str">
        <v>保留计划并暂停</v>
      </c>
      <c r="D22" s="40" t="str">
        <v>规则</v>
      </c>
      <c r="E22" s="40" t="str">
        <v>补齐后继续；不自动减量；当前没有在制批次时中断立即结束。</v>
      </c>
      <c r="F22" s="40" t="inlineStr">
        <is>
          <t>已实现（0.1.103）</t>
        </is>
      </c>
    </row>
    <row r="23" ht="48" customHeight="1">
      <c r="A23" s="40" t="str">
        <v>pause_output</v>
      </c>
      <c r="B23" s="40" t="str">
        <v>输出空间不足</v>
      </c>
      <c r="C23" s="40" t="str">
        <v>暂停等待空间</v>
      </c>
      <c r="D23" s="40" t="str">
        <v>规则</v>
      </c>
      <c r="E23" s="40" t="str">
        <v>残留产物可开工，只要本批放得下；已完成未入库保持完成进度。</v>
      </c>
      <c r="F23" s="40" t="inlineStr">
        <is>
          <t>已实现（0.1.103）</t>
        </is>
      </c>
    </row>
    <row r="24" ht="48" customHeight="1">
      <c r="A24" s="40" t="str">
        <v>interrupt</v>
      </c>
      <c r="B24" s="40" t="str">
        <v>中断</v>
      </c>
      <c r="C24" s="40" t="str">
        <v>当前一次完成后停止</v>
      </c>
      <c r="D24" s="40" t="str">
        <v>规则</v>
      </c>
      <c r="E24" s="40" t="str">
        <v>不取消、不退款，不再启动下一次；等待本批入库也属于当前一次。</v>
      </c>
      <c r="F24" s="40" t="inlineStr">
        <is>
          <t>已实现（0.1.103）</t>
        </is>
      </c>
    </row>
    <row r="25" ht="48" customHeight="1">
      <c r="A25" s="40" t="str">
        <v>finite_plan</v>
      </c>
      <c r="B25" s="40" t="str">
        <v>生产计划</v>
      </c>
      <c r="C25" s="40" t="str">
        <v>有限次数</v>
      </c>
      <c r="D25" s="40" t="str">
        <v>规则</v>
      </c>
      <c r="E25" s="40" t="str">
        <v>不增加无限模式、外部自动开工、远征整合或红石控制。</v>
      </c>
      <c r="F25" s="40" t="inlineStr">
        <is>
          <t>已实现（0.1.103）</t>
        </is>
      </c>
    </row>
    <row r="26" ht="48" customHeight="1">
      <c r="A26" s="40" t="str">
        <v>sides</v>
      </c>
      <c r="B26" s="40" t="str">
        <v>四侧物品能力</v>
      </c>
      <c r="C26" s="40" t="str">
        <v>输入原料；先出产物再出原料</v>
      </c>
      <c r="D26" s="40" t="str">
        <v>规则</v>
      </c>
      <c r="E26" s="40" t="str">
        <v>产物未清空时自动化不能抽原料；同一处理器引用在实体移除后失效。</v>
      </c>
      <c r="F26" s="40" t="inlineStr">
        <is>
          <t>已实现（0.1.103）</t>
        </is>
      </c>
    </row>
    <row r="27" ht="48" customHeight="1">
      <c r="A27" s="40" t="str">
        <v>bottom</v>
      </c>
      <c r="B27" s="40" t="str">
        <v>底面物品能力</v>
      </c>
      <c r="C27" s="40" t="str">
        <v>只出产物、原料</v>
      </c>
      <c r="D27" s="40" t="str">
        <v>规则</v>
      </c>
      <c r="E27" s="40" t="str">
        <v>遵守同样输出优先级，禁止输入。</v>
      </c>
      <c r="F27" s="40" t="inlineStr">
        <is>
          <t>已实现（0.1.103）</t>
        </is>
      </c>
    </row>
    <row r="28" ht="48" customHeight="1">
      <c r="A28" s="40" t="str">
        <v>top</v>
      </c>
      <c r="B28" s="40" t="str">
        <v>顶面物品能力</v>
      </c>
      <c r="C28" s="40" t="str">
        <v>关闭</v>
      </c>
      <c r="D28" s="40" t="str">
        <v>规则</v>
      </c>
      <c r="E28" s="40" t="str">
        <v>不暴露物品或流体接口。</v>
      </c>
      <c r="F28" s="40" t="inlineStr">
        <is>
          <t>已实现（0.1.103）</t>
        </is>
      </c>
    </row>
    <row r="29" ht="48" customHeight="1">
      <c r="A29" s="40" t="str">
        <v>browse</v>
      </c>
      <c r="B29" s="40" t="str">
        <v>浏览记忆</v>
      </c>
      <c r="C29" s="40" t="str">
        <v>最后关闭窗口写回机器</v>
      </c>
      <c r="D29" s="40" t="str">
        <v>规则</v>
      </c>
      <c r="E29" s="40" t="str">
        <v>窗口打开时复制，互不干扰；任何玩家重开读同一份，不保存玩家UUID。</v>
      </c>
      <c r="F29" s="40" t="inlineStr">
        <is>
          <t>已实现（0.1.103）</t>
        </is>
      </c>
    </row>
    <row r="30" ht="48" customHeight="1">
      <c r="A30" s="40" t="str">
        <v>recipe_snapshot</v>
      </c>
      <c r="B30" s="40" t="str">
        <v>配方快照</v>
      </c>
      <c r="C30" s="40" t="str">
        <v>整份计划冻结费用、产量和时长</v>
      </c>
      <c r="D30" s="40" t="str">
        <v>规则</v>
      </c>
      <c r="E30" s="40" t="str">
        <v>仍逐次规划当前库存扣法；数据包重载不改变在途计划。</v>
      </c>
      <c r="F30" s="40" t="inlineStr">
        <is>
          <t>已实现（0.1.103）</t>
        </is>
      </c>
    </row>
    <row r="31" ht="48" customHeight="1">
      <c r="A31" s="40" t="str">
        <v>correct_tool</v>
      </c>
      <c r="B31" s="40" t="str">
        <v>正常采集</v>
      </c>
      <c r="C31" s="40" t="str">
        <v>仅保存两类缓存</v>
      </c>
      <c r="D31" s="40" t="str">
        <v>规则</v>
      </c>
      <c r="E31" s="40" t="str">
        <v>清进度、清后续次数，不退本次投入；重放不恢复任务或浏览。</v>
      </c>
      <c r="F31" s="40" t="inlineStr">
        <is>
          <t>已实现（0.1.103）</t>
        </is>
      </c>
    </row>
    <row r="32" ht="48" customHeight="1">
      <c r="A32" s="40" t="str">
        <v>incorrect_tool</v>
      </c>
      <c r="B32" s="40" t="str">
        <v>错误工具采集</v>
      </c>
      <c r="C32" s="40" t="str">
        <v>不掉机器，缓存全散落</v>
      </c>
      <c r="D32" s="40" t="str">
        <v>规则</v>
      </c>
      <c r="E32" s="40" t="str">
        <v>清进度和计划，不退本次投入。</v>
      </c>
      <c r="F32" s="40" t="inlineStr">
        <is>
          <t>已实现（0.1.103）</t>
        </is>
      </c>
    </row>
    <row r="33" ht="48" customHeight="1">
      <c r="A33" s="40" t="str">
        <v>creative_removal</v>
      </c>
      <c r="B33" s="40" t="str">
        <v>创造及无机器掉落移除</v>
      </c>
      <c r="C33" s="40" t="str">
        <v>缓存全散落</v>
      </c>
      <c r="D33" s="40" t="str">
        <v>规则</v>
      </c>
      <c r="E33" s="40" t="str">
        <v>不退在制材料；正常战利品已保存缓存时不能再次散落。</v>
      </c>
      <c r="F33" s="40" t="inlineStr">
        <is>
          <t>已实现（0.1.103）</t>
        </is>
      </c>
    </row>
    <row r="34" ht="48" customHeight="1">
      <c r="A34" s="40" t="str">
        <v>stack_limit</v>
      </c>
      <c r="B34" s="40" t="str">
        <v>机器物品堆叠</v>
      </c>
      <c r="C34" s="44" t="n">
        <v>1</v>
      </c>
      <c r="D34" s="40" t="str">
        <v>件</v>
      </c>
      <c r="E34" s="40" t="str">
        <v>带缓存与空机器均不可堆叠。</v>
      </c>
      <c r="F34" s="40" t="inlineStr">
        <is>
          <t>已实现（0.1.103）</t>
        </is>
      </c>
    </row>
    <row r="35" ht="48" customHeight="1">
      <c r="A35" s="40" t="str">
        <v>tool_level</v>
      </c>
      <c r="B35" s="40" t="str">
        <v>有效采集工具</v>
      </c>
      <c r="C35" s="40" t="str">
        <v>石镐及以上</v>
      </c>
      <c r="D35" s="40" t="str">
        <v>规则</v>
      </c>
      <c r="E35" s="40" t="str">
        <v>遵循原版工具标签判定。</v>
      </c>
      <c r="F35" s="40" t="inlineStr">
        <is>
          <t>已实现（0.1.103）</t>
        </is>
      </c>
    </row>
    <row r="36" ht="48" customHeight="1">
      <c r="A36" s="40" t="str">
        <v>hardness</v>
      </c>
      <c r="B36" s="40" t="str">
        <v>硬度</v>
      </c>
      <c r="C36" s="44" t="n">
        <v>4</v>
      </c>
      <c r="D36" s="40" t="str">
        <v>数值</v>
      </c>
      <c r="E36" s="40" t="str">
        <v>与现有制造设施一致。</v>
      </c>
      <c r="F36" s="40" t="inlineStr">
        <is>
          <t>已实现（0.1.103）</t>
        </is>
      </c>
    </row>
    <row r="37" ht="48" customHeight="1">
      <c r="A37" s="40" t="str">
        <v>blast_resistance</v>
      </c>
      <c r="B37" s="40" t="str">
        <v>抗爆性</v>
      </c>
      <c r="C37" s="44" t="n">
        <v>8</v>
      </c>
      <c r="D37" s="40" t="str">
        <v>数值</v>
      </c>
      <c r="E37" s="40" t="str">
        <v>活塞不可推动，水平四向，金属音效。</v>
      </c>
      <c r="F37" s="40" t="inlineStr">
        <is>
          <t>已实现（0.1.103）</t>
        </is>
      </c>
    </row>
    <row r="38" ht="48" customHeight="1">
      <c r="A38" s="40" t="str">
        <v>block_recipe</v>
      </c>
      <c r="B38" s="40" t="str">
        <v>机器合成</v>
      </c>
      <c r="C38" s="40" t="str">
        <v>SCS/APA/SWS</v>
      </c>
      <c r="D38" s="40" t="str">
        <v>有序</v>
      </c>
      <c r="E38" s="40" t="str">
        <v>S钢锭4、C铜锭1、A铝锭2、P活塞1、W工作台1，产1台。</v>
      </c>
      <c r="F38" s="40" t="inlineStr">
        <is>
          <t>已实现（0.1.103）</t>
        </is>
      </c>
    </row>
    <row r="39" ht="48" customHeight="1">
      <c r="A39" s="40" t="str">
        <v>copper_nugget</v>
      </c>
      <c r="B39" s="40" t="str">
        <v>铜粒与拆合</v>
      </c>
      <c r="C39" s="40" t="str">
        <v>1铜锭对应9铜粒</v>
      </c>
      <c r="D39" s="40" t="str">
        <v>规则</v>
      </c>
      <c r="E39" s="40" t="str">
        <v>新增铜粒物品与两个拆合配方，原版铜块拆合不重复注册。</v>
      </c>
      <c r="F39" s="40" t="inlineStr">
        <is>
          <t>已实现（0.1.103）</t>
        </is>
      </c>
    </row>
    <row r="40" ht="48" customHeight="1">
      <c r="A40" s="40" t="str">
        <v>sound</v>
      </c>
      <c r="B40" s="40" t="str">
        <v>完成音效</v>
      </c>
      <c r="C40" s="40" t="str">
        <v>复用shipyard_complete</v>
      </c>
      <c r="D40" s="40" t="str">
        <v>规则</v>
      </c>
      <c r="E40" s="40" t="str">
        <v>仅整份计划结束或中断收尾响一次，不逐批连续播放。</v>
      </c>
      <c r="F40" s="40" t="inlineStr">
        <is>
          <t>已实现（0.1.103）</t>
        </is>
      </c>
    </row>
    <row r="41" ht="48" customHeight="1">
      <c r="A41" s="40" t="str">
        <v>right_center</v>
      </c>
      <c r="B41" s="40" t="str">
        <v>右栏中心线</v>
      </c>
      <c r="C41" s="44" t="n">
        <v>296</v>
      </c>
      <c r="D41" s="40" t="str">
        <v>逻辑像素</v>
      </c>
      <c r="E41" s="40" t="inlineStr">
        <is>
          <t>槽位与箭头横向居中，中心纵坐标62、94、126；顶部居中提示块锭粒可自动转换，与产量／耗时同色。</t>
        </is>
      </c>
      <c r="F41" s="40" t="inlineStr">
        <is>
          <t>已实现（0.1.103）</t>
        </is>
      </c>
    </row>
    <row r="42" ht="48" customHeight="1">
      <c r="A42" s="40" t="str">
        <v>right_gap</v>
      </c>
      <c r="B42" s="40" t="str">
        <v>右栏上下留白</v>
      </c>
      <c r="C42" s="44">
        <v>4</v>
      </c>
      <c r="D42" s="40" t="str">
        <v>逻辑像素</v>
      </c>
      <c r="E42" s="40" t="inlineStr">
        <is>
          <t>提示y26；槽组区域y40–148，输入y44–80、箭头y84–104、产物y108–144，上下及组间均4像素。</t>
        </is>
      </c>
      <c r="F42" s="40" t="inlineStr">
        <is>
          <t>已实现（0.1.103）</t>
        </is>
      </c>
    </row>
    <row r="43" ht="48" customHeight="1">
      <c r="A43" s="40" t="str">
        <v>ratio_spacing</v>
      </c>
      <c r="B43" s="40" t="str">
        <v>进度空格</v>
      </c>
      <c r="C43" s="40" t="inlineStr">
        <is>
          <t>16 / 40枚 · 第5 / 10次</t>
        </is>
      </c>
      <c r="D43" s="40" t="str">
        <v>规则</v>
      </c>
      <c r="E43" s="40" t="str">
        <v>半角斜杠与中点两侧各1空格；数字紧接中文单位。</v>
      </c>
      <c r="F43" s="40" t="inlineStr">
        <is>
          <t>已实现（0.1.103）</t>
        </is>
      </c>
    </row>
    <row r="44" ht="48" customHeight="1">
      <c r="A44" s="40" t="str">
        <v>recipe_scope</v>
      </c>
      <c r="B44" s="40" t="str">
        <v>默认生产配方</v>
      </c>
      <c r="C44" s="40" t="str">
        <v>八弹种各一条</v>
      </c>
      <c r="D44" s="40" t="str">
        <v>规则</v>
      </c>
      <c r="E44" s="40" t="str">
        <v>由数据包覆盖，不把首批费用和2至5秒耗时设为硬上限。</v>
      </c>
      <c r="F44" s="40" t="inlineStr">
        <is>
          <t>已实现（0.1.103）</t>
        </is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>
  <dimension ref="A1:N12"/>
  <sheetViews>
    <sheetView showGridLines="0" workbookViewId="0">
      <pane ySplit="1" topLeftCell="A2" activePane="bottomLeft" state="frozen"/>
    </sheetView>
  </sheetViews>
  <sheetFormatPr defaultRowHeight="15"/>
  <cols>
    <col min="1" max="1" width="43" customWidth="1"/>
    <col min="2" max="2" width="18" customWidth="1"/>
    <col min="3" max="3" width="12" customWidth="1"/>
    <col min="4" max="4" width="12" customWidth="1"/>
    <col min="5" max="5" width="10" customWidth="1"/>
    <col min="6" max="6" width="10" customWidth="1"/>
    <col min="7" max="7" width="10" customWidth="1"/>
    <col min="8" max="8" width="12" customWidth="1"/>
    <col min="9" max="9" width="12" customWidth="1"/>
    <col min="10" max="10" width="12" customWidth="1"/>
    <col min="11" max="11" width="12" customWidth="1"/>
    <col min="12" max="12" width="14" customWidth="1"/>
    <col min="13" max="13" width="26" customWidth="1"/>
    <col min="14" max="14" width="42" customWidth="1"/>
  </cols>
  <sheetData>
    <row r="1" ht="34" customHeight="1">
      <c r="A1" s="38" t="str">
        <v>产物标识</v>
      </c>
      <c r="B1" s="38" t="str">
        <v>名称</v>
      </c>
      <c r="C1" s="38" t="str">
        <v>类别</v>
      </c>
      <c r="D1" s="38" t="inlineStr">
        <is>
          <t>单次产量(枚)</t>
        </is>
      </c>
      <c r="E1" s="38" t="str">
        <v>铜粒</v>
      </c>
      <c r="F1" s="38" t="str">
        <v>钢粒</v>
      </c>
      <c r="G1" s="38" t="str">
        <v>铝粒</v>
      </c>
      <c r="H1" s="38" t="str">
        <v>火药(个)</v>
      </c>
      <c r="I1" s="38" t="str">
        <v>耗时(秒)</v>
      </c>
      <c r="J1" s="38" t="inlineStr">
        <is>
          <t>单枚点数</t>
        </is>
      </c>
      <c r="K1" s="38" t="str">
        <v>单批点数</v>
      </c>
      <c r="L1" s="38" t="str">
        <v>进度tick</v>
      </c>
      <c r="M1" s="38" t="str">
        <v>状态</v>
      </c>
      <c r="N1" s="38" t="str">
        <v>说明</v>
      </c>
    </row>
    <row r="2" ht="48" customHeight="1">
      <c r="A2" s="40" t="str">
        <v>piranport:high_explosive_shell</v>
      </c>
      <c r="B2" s="40" t="str">
        <v>高爆弹</v>
      </c>
      <c r="C2" s="40" t="str">
        <v>炮弹</v>
      </c>
      <c r="D2" s="44" t="n">
        <v>4</v>
      </c>
      <c r="E2" s="44" t="n">
        <v>4</v>
      </c>
      <c r="F2" s="44" t="n">
        <v>4</v>
      </c>
      <c r="G2" s="44" t="n">
        <v>0</v>
      </c>
      <c r="H2" s="44" t="n">
        <v>3</v>
      </c>
      <c r="I2" s="44" t="n">
        <v>2</v>
      </c>
      <c r="J2" s="44" t="n">
        <f>'船坞参数'!C10</f>
        <v>2</v>
      </c>
      <c r="K2" s="44" t="n">
        <f>D2*J2</f>
        <v>8</v>
      </c>
      <c r="L2" s="44" t="n">
        <f>I2*'弹药生产线参数'!$C$7</f>
        <v>40</v>
      </c>
      <c r="M2" s="40" t="inlineStr">
        <is>
          <t>已实现（0.1.103）</t>
        </is>
      </c>
      <c r="N2" s="40" t="str">
        <v>每行是一次加工的费用；零用料只在GUI隐藏，参数表保留0。</v>
      </c>
    </row>
    <row r="3" ht="48" customHeight="1">
      <c r="A3" s="40" t="str">
        <v>piranport:armor_piercing_shell</v>
      </c>
      <c r="B3" s="40" t="str">
        <v>穿甲弹</v>
      </c>
      <c r="C3" s="40" t="str">
        <v>炮弹</v>
      </c>
      <c r="D3" s="44" t="n">
        <v>4</v>
      </c>
      <c r="E3" s="44" t="n">
        <v>4</v>
      </c>
      <c r="F3" s="44" t="n">
        <v>8</v>
      </c>
      <c r="G3" s="44" t="n">
        <v>0</v>
      </c>
      <c r="H3" s="44" t="n">
        <v>2</v>
      </c>
      <c r="I3" s="44" t="n">
        <v>3</v>
      </c>
      <c r="J3" s="44" t="n">
        <f>'船坞参数'!C11</f>
        <v>3</v>
      </c>
      <c r="K3" s="44" t="n">
        <f>D3*J3</f>
        <v>12</v>
      </c>
      <c r="L3" s="44" t="n">
        <f>I3*'弹药生产线参数'!$C$7</f>
        <v>60</v>
      </c>
      <c r="M3" s="40" t="inlineStr">
        <is>
          <t>已实现（0.1.103）</t>
        </is>
      </c>
      <c r="N3" s="40" t="str">
        <v>每行是一次加工的费用；零用料只在GUI隐藏，参数表保留0。</v>
      </c>
    </row>
    <row r="4" ht="48" customHeight="1">
      <c r="A4" s="40" t="str">
        <v>piranport:anti_aircraft_shell</v>
      </c>
      <c r="B4" s="40" t="str">
        <v>防空弹</v>
      </c>
      <c r="C4" s="40" t="str">
        <v>炮弹</v>
      </c>
      <c r="D4" s="44" t="n">
        <v>4</v>
      </c>
      <c r="E4" s="44" t="n">
        <v>4</v>
      </c>
      <c r="F4" s="44" t="n">
        <v>4</v>
      </c>
      <c r="G4" s="44" t="n">
        <v>4</v>
      </c>
      <c r="H4" s="44" t="n">
        <v>3</v>
      </c>
      <c r="I4" s="44" t="n">
        <v>3</v>
      </c>
      <c r="J4" s="44" t="n">
        <f>'船坞参数'!C12</f>
        <v>3</v>
      </c>
      <c r="K4" s="44" t="n">
        <f>D4*J4</f>
        <v>12</v>
      </c>
      <c r="L4" s="44" t="n">
        <f>I4*'弹药生产线参数'!$C$7</f>
        <v>60</v>
      </c>
      <c r="M4" s="40" t="inlineStr">
        <is>
          <t>已实现（0.1.103）</t>
        </is>
      </c>
      <c r="N4" s="40" t="str">
        <v>每行是一次加工的费用；零用料只在GUI隐藏，参数表保留0。</v>
      </c>
    </row>
    <row r="5" ht="48" customHeight="1">
      <c r="A5" s="40" t="str">
        <v>piranport:depth_charge</v>
      </c>
      <c r="B5" s="40" t="str">
        <v>深水炸弹</v>
      </c>
      <c r="C5" s="40" t="str">
        <v>深水炸弹</v>
      </c>
      <c r="D5" s="44" t="n">
        <v>4</v>
      </c>
      <c r="E5" s="44" t="n">
        <v>0</v>
      </c>
      <c r="F5" s="44" t="n">
        <v>4</v>
      </c>
      <c r="G5" s="44" t="n">
        <v>0</v>
      </c>
      <c r="H5" s="44" t="n">
        <v>1</v>
      </c>
      <c r="I5" s="44" t="n">
        <v>2</v>
      </c>
      <c r="J5" s="44" t="n">
        <f>'船坞参数'!C13</f>
        <v>1</v>
      </c>
      <c r="K5" s="44" t="n">
        <f>D5*J5</f>
        <v>4</v>
      </c>
      <c r="L5" s="44" t="n">
        <f>I5*'弹药生产线参数'!$C$7</f>
        <v>40</v>
      </c>
      <c r="M5" s="40" t="inlineStr">
        <is>
          <t>已实现（0.1.103）</t>
        </is>
      </c>
      <c r="N5" s="40" t="str">
        <v>每行是一次加工的费用；零用料只在GUI隐藏，参数表保留0。</v>
      </c>
    </row>
    <row r="6" ht="48" customHeight="1">
      <c r="A6" s="40" t="str">
        <v>piranport:straight_running_torpedo</v>
      </c>
      <c r="B6" s="40" t="str">
        <v>直航鱼雷</v>
      </c>
      <c r="C6" s="40" t="str">
        <v>鱼雷</v>
      </c>
      <c r="D6" s="44" t="n">
        <v>1</v>
      </c>
      <c r="E6" s="44" t="n">
        <v>2</v>
      </c>
      <c r="F6" s="44" t="n">
        <v>4</v>
      </c>
      <c r="G6" s="44" t="n">
        <v>0</v>
      </c>
      <c r="H6" s="44" t="n">
        <v>2</v>
      </c>
      <c r="I6" s="44" t="n">
        <v>2</v>
      </c>
      <c r="J6" s="44" t="n">
        <f>'船坞参数'!C14</f>
        <v>3</v>
      </c>
      <c r="K6" s="44" t="n">
        <f>D6*J6</f>
        <v>3</v>
      </c>
      <c r="L6" s="44" t="n">
        <f>I6*'弹药生产线参数'!$C$7</f>
        <v>40</v>
      </c>
      <c r="M6" s="40" t="inlineStr">
        <is>
          <t>已实现（0.1.103）</t>
        </is>
      </c>
      <c r="N6" s="40" t="str">
        <v>每行是一次加工的费用；零用料只在GUI隐藏，参数表保留0。</v>
      </c>
    </row>
    <row r="7" ht="48" customHeight="1">
      <c r="A7" s="40" t="str">
        <v>piranport:guided_torpedo</v>
      </c>
      <c r="B7" s="40" t="str">
        <v>制导鱼雷</v>
      </c>
      <c r="C7" s="40" t="str">
        <v>鱼雷</v>
      </c>
      <c r="D7" s="44" t="n">
        <v>1</v>
      </c>
      <c r="E7" s="44" t="n">
        <v>3</v>
      </c>
      <c r="F7" s="44" t="n">
        <v>4</v>
      </c>
      <c r="G7" s="44" t="n">
        <v>2</v>
      </c>
      <c r="H7" s="44" t="n">
        <v>2</v>
      </c>
      <c r="I7" s="44" t="n">
        <v>3</v>
      </c>
      <c r="J7" s="44" t="n">
        <f>'船坞参数'!C15</f>
        <v>4</v>
      </c>
      <c r="K7" s="44" t="n">
        <f>D7*J7</f>
        <v>4</v>
      </c>
      <c r="L7" s="44" t="n">
        <f>I7*'弹药生产线参数'!$C$7</f>
        <v>60</v>
      </c>
      <c r="M7" s="40" t="inlineStr">
        <is>
          <t>已实现（0.1.103）</t>
        </is>
      </c>
      <c r="N7" s="40" t="str">
        <v>每行是一次加工的费用；零用料只在GUI隐藏，参数表保留0。</v>
      </c>
    </row>
    <row r="8" ht="48" customHeight="1">
      <c r="A8" s="40" t="str">
        <v>piranport:anti_ship_missile</v>
      </c>
      <c r="B8" s="40" t="str">
        <v>反舰导弹</v>
      </c>
      <c r="C8" s="40" t="str">
        <v>导弹</v>
      </c>
      <c r="D8" s="44" t="n">
        <v>1</v>
      </c>
      <c r="E8" s="44" t="n">
        <v>6</v>
      </c>
      <c r="F8" s="44" t="n">
        <v>9</v>
      </c>
      <c r="G8" s="44" t="n">
        <v>6</v>
      </c>
      <c r="H8" s="44" t="n">
        <v>3</v>
      </c>
      <c r="I8" s="44" t="n">
        <v>5</v>
      </c>
      <c r="J8" s="44" t="n">
        <f>'船坞参数'!C16</f>
        <v>8</v>
      </c>
      <c r="K8" s="44" t="n">
        <f>D8*J8</f>
        <v>8</v>
      </c>
      <c r="L8" s="44" t="n">
        <f>I8*'弹药生产线参数'!$C$7</f>
        <v>100</v>
      </c>
      <c r="M8" s="40" t="inlineStr">
        <is>
          <t>已实现（0.1.103）</t>
        </is>
      </c>
      <c r="N8" s="40" t="str">
        <v>每行是一次加工的费用；零用料只在GUI隐藏，参数表保留0。</v>
      </c>
    </row>
    <row r="9" ht="48" customHeight="1">
      <c r="A9" s="40" t="str">
        <v>piranport:anti_aircraft_missile</v>
      </c>
      <c r="B9" s="40" t="str">
        <v>防空导弹</v>
      </c>
      <c r="C9" s="40" t="str">
        <v>导弹</v>
      </c>
      <c r="D9" s="44" t="n">
        <v>1</v>
      </c>
      <c r="E9" s="44" t="n">
        <v>4</v>
      </c>
      <c r="F9" s="44" t="n">
        <v>5</v>
      </c>
      <c r="G9" s="44" t="n">
        <v>6</v>
      </c>
      <c r="H9" s="44" t="n">
        <v>3</v>
      </c>
      <c r="I9" s="44" t="n">
        <v>4</v>
      </c>
      <c r="J9" s="44" t="n">
        <f>'船坞参数'!C17</f>
        <v>6</v>
      </c>
      <c r="K9" s="44" t="n">
        <f>D9*J9</f>
        <v>6</v>
      </c>
      <c r="L9" s="44" t="n">
        <f>I9*'弹药生产线参数'!$C$7</f>
        <v>80</v>
      </c>
      <c r="M9" s="40" t="inlineStr">
        <is>
          <t>已实现（0.1.103）</t>
        </is>
      </c>
      <c r="N9" s="40" t="str">
        <v>每行是一次加工的费用；零用料只在GUI隐藏，参数表保留0。</v>
      </c>
    </row>
    <row r="10" ht="48" customHeight="1"/>
    <row r="11" ht="48" customHeight="1">
      <c r="A11" s="40" t="str">
        <v>规则来源</v>
      </c>
      <c r="B11" s="40" t="str">
        <v>3.2.4弹药生产线实现方案，2026-10-26</v>
      </c>
    </row>
    <row r="12" ht="48" customHeight="1">
      <c r="A12" s="40" t="str">
        <v>状态说明</v>
      </c>
      <c r="B12" s="40" t="inlineStr">
        <is>
          <t>八弹种物品、生产线和本页八项配方已实现（0.1.103）；战斗仍未实现。</t>
        </is>
      </c>
    </row>
  </sheetData>
  <pageMargins left="0.7" right="0.7" top="0.75" bottom="0.75" header="0.3" footer="0.3"/>
  <tableParts count="1">
    <tablePart r:id="rId1"/>
  </tableParts>
</worksheet>
</file>