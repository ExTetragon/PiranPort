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d9861adfc6447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物品" sheetId="1" r:id="R982cd5fd720e44ac"/>
    <sheet name="许可类型" sheetId="2" r:id="Rc6b797e59aa4479a"/>
    <sheet name="配方" sheetId="3" r:id="Rd9eb575a4bbb409e"/>
    <sheet name="奖励箱" sheetId="4" r:id="Re509fbf6d44c447e"/>
    <sheet name="进度" sheetId="5" r:id="R21a59f9559974aa4"/>
    <sheet name="后续设施" sheetId="6" r:id="R391c11a908b64645"/>
    <sheet name="船坞参数" sheetId="7" r:id="rShipyard7"/>
    <sheet name="船坞建造" sheetId="8" r:id="rShipyard8"/>
  </sheets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 xmlns:ns1="http://schemas.microsoft.com/office/spreadsheetml/2022/featurepropertybag">
  <numFmts count="5">
    <numFmt numFmtId="200" formatCode="0"/>
    <numFmt numFmtId="201" formatCode="0%"/>
    <numFmt numFmtId="202" formatCode="0.0"/>
    <numFmt numFmtId="203" formatCode="0"/>
    <numFmt numFmtId="204" formatCode="[m]:ss"/>
  </numFmts>
  <fonts count="8">
    <font>
      <sz val="11"/>
      <name val="Carlito"/>
    </font>
    <font>
      <sz val="11"/>
      <color rgb="FF202020"/>
      <name val="宋体"/>
    </font>
    <font>
      <b/>
      <sz val="11"/>
      <color rgb="FF202020"/>
      <name val="宋体"/>
    </font>
    <font>
      <sz val="11"/>
      <color rgb="FF404040"/>
      <name val="宋体"/>
    </font>
    <font>
      <sz val="11"/>
      <name val="宋体"/>
    </font>
    <font>
      <sz val="11"/>
      <name val="Carlito"/>
    </font>
    <font>
      <sz val="11"/>
      <color rgb="FF202020"/>
      <name val="宋体"/>
    </font>
    <font>
      <b/>
      <sz val="11"/>
      <color rgb="FF202020"/>
      <name val="宋体"/>
    </font>
  </fonts>
  <fills count="7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3F6F9"/>
      </patternFill>
    </fill>
    <fill>
      <patternFill patternType="none"/>
    </fill>
    <fill>
      <patternFill patternType="gray125"/>
    </fill>
    <fill>
      <patternFill patternType="solid">
        <fgColor rgb="FFDDEB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8EA9C1"/>
      </bottom>
      <diagonal/>
    </border>
    <border>
      <left style="thin">
        <color rgb="FFA6B7C7"/>
      </left>
      <right style="thin">
        <color rgb="FFA6B7C7"/>
      </right>
      <top style="thin">
        <color rgb="FFA6B7C7"/>
      </top>
      <bottom style="thin">
        <color rgb="FFA6B7C7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5" fillId="4" borderId="3"/>
  </cellStyleXfs>
  <cellXfs count="38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1" fillId="0" borderId="0" xfId="0" applyNumberFormat="1" applyFont="1" applyFill="1" applyBorder="1" applyAlignment="1">
      <alignment horizontal="left" wrapText="1"/>
    </xf>
    <xf numFmtId="0" fontId="1" fillId="0" borderId="0" xfId="0" applyNumberFormat="1" applyFont="1" applyFill="1" applyBorder="1" applyAlignment="1">
      <alignment horizontal="left" vertical="top" wrapText="1"/>
    </xf>
    <xf numFmtId="0" fontId="1" fillId="2" borderId="0" xfId="0" applyNumberFormat="1" applyFont="1" applyFill="1" applyBorder="1" applyAlignment="1">
      <alignment horizontal="left" vertical="top" wrapText="1"/>
    </xf>
    <xf numFmtId="0" fontId="2" fillId="2" borderId="0" xfId="0" applyNumberFormat="1" applyFont="1" applyFill="1" applyBorder="1" applyAlignment="1">
      <alignment horizontal="left" vertical="top" wrapText="1"/>
    </xf>
    <xf numFmtId="0" fontId="2" fillId="2" borderId="1" xfId="0" applyNumberFormat="1" applyFont="1" applyFill="1" applyBorder="1" applyAlignment="1">
      <alignment horizontal="left" vertical="top" wrapText="1"/>
    </xf>
    <xf numFmtId="0" fontId="2" fillId="2" borderId="1" xfId="0" applyNumberFormat="1" applyFont="1" applyFill="1" applyBorder="1" applyAlignment="1">
      <alignment horizontal="center" vertical="top" wrapText="1"/>
    </xf>
    <xf numFmtId="0" fontId="2" fillId="2" borderId="1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vertical="top" wrapText="1"/>
    </xf>
    <xf numFmtId="200" fontId="1" fillId="0" borderId="0" xfId="0" applyNumberFormat="1" applyFont="1" applyFill="1" applyBorder="1" applyAlignment="1">
      <alignment horizontal="left" vertical="top" wrapText="1"/>
    </xf>
    <xf numFmtId="200" fontId="1" fillId="0" borderId="0" xfId="0" applyNumberFormat="1" applyFont="1" applyFill="1" applyBorder="1" applyAlignment="1">
      <alignment horizontal="right" vertical="top" wrapText="1"/>
    </xf>
    <xf numFmtId="0" fontId="0" fillId="3" borderId="0" xfId="0" applyNumberFormat="1" applyFont="1" applyFill="1" applyBorder="1"/>
    <xf numFmtId="0" fontId="4" fillId="3" borderId="0" xfId="0" applyNumberFormat="1" applyFont="1" applyFill="1" applyBorder="1"/>
    <xf numFmtId="0" fontId="4" fillId="3" borderId="2" xfId="0" applyNumberFormat="1" applyFont="1" applyFill="1" applyBorder="1"/>
    <xf numFmtId="0" fontId="4" fillId="3" borderId="2" xfId="0" applyNumberFormat="1" applyFont="1" applyFill="1" applyBorder="1" applyAlignment="1">
      <alignment horizontal="center"/>
    </xf>
    <xf numFmtId="0" fontId="4" fillId="3" borderId="2" xfId="0" applyNumberFormat="1" applyFont="1" applyFill="1" applyBorder="1" applyAlignment="1">
      <alignment horizontal="center" vertical="center"/>
    </xf>
    <xf numFmtId="0" fontId="4" fillId="2" borderId="2" xfId="0" applyNumberFormat="1" applyFont="1" applyFill="1" applyBorder="1" applyAlignment="1">
      <alignment horizontal="center" vertical="center"/>
    </xf>
    <xf numFmtId="201" fontId="1" fillId="0" borderId="0" xfId="0" applyNumberFormat="1" applyFont="1" applyFill="1" applyBorder="1" applyAlignment="1">
      <alignment horizontal="left" vertical="top" wrapText="1"/>
    </xf>
    <xf numFmtId="202" fontId="1" fillId="0" borderId="0" xfId="0" applyNumberFormat="1" applyFont="1" applyFill="1" applyBorder="1" applyAlignment="1">
      <alignment horizontal="left" vertical="top" wrapText="1"/>
    </xf>
    <xf numFmtId="201" fontId="1" fillId="0" borderId="0" xfId="0" applyNumberFormat="1" applyFont="1" applyFill="1" applyBorder="1" applyAlignment="1">
      <alignment horizontal="right" vertical="top" wrapText="1"/>
    </xf>
    <xf numFmtId="202" fontId="1" fillId="0" borderId="0" xfId="0" applyNumberFormat="1" applyFont="1" applyFill="1" applyBorder="1" applyAlignment="1">
      <alignment horizontal="right" vertical="top" wrapText="1"/>
    </xf>
    <xf numFmtId="0" fontId="5" fillId="4" borderId="3" xfId="1"/>
    <xf numFmtId="0" fontId="5" fillId="4" borderId="3" xfId="1">
      <extLst>
        <ext uri="{C7286773-470A-42A8-94C5-96B5CB345126}">
          <ns1:xfComplement i="0"/>
        </ext>
      </extLst>
    </xf>
    <xf numFmtId="0" fontId="6" fillId="4" borderId="3" xfId="1" applyNumberFormat="1" applyFont="1" applyFill="1" applyBorder="1"/>
    <xf numFmtId="0" fontId="6" fillId="4" borderId="3" xfId="1" applyNumberFormat="1" applyFont="1" applyFill="1" applyBorder="1">
      <extLst>
        <ext uri="{C7286773-470A-42A8-94C5-96B5CB345126}">
          <ns1:xfComplement i="0"/>
        </ext>
      </extLst>
    </xf>
    <xf numFmtId="0" fontId="6" fillId="4" borderId="3" xfId="1" applyNumberFormat="1" applyFont="1" applyFill="1" applyBorder="1" applyAlignment="1">
      <alignment vertical="center"/>
    </xf>
    <xf numFmtId="0" fontId="6" fillId="4" borderId="3" xfId="1" applyNumberFormat="1" applyFont="1" applyFill="1" applyBorder="1" applyAlignment="1">
      <alignment vertical="center"/>
      <extLst>
        <ext uri="{C7286773-470A-42A8-94C5-96B5CB345126}">
          <ns1:xfComplement i="0"/>
        </ext>
      </extLst>
    </xf>
    <xf numFmtId="0" fontId="6" fillId="6" borderId="3" xfId="1" applyNumberFormat="1" applyFont="1" applyFill="1" applyBorder="1" applyAlignment="1">
      <alignment vertical="center"/>
    </xf>
    <xf numFmtId="0" fontId="7" fillId="6" borderId="3" xfId="1" applyNumberFormat="1" applyFont="1" applyFill="1" applyBorder="1" applyAlignment="1">
      <alignment vertical="center"/>
    </xf>
    <xf numFmtId="0" fontId="7" fillId="6" borderId="3" xfId="1" applyNumberFormat="1" applyFont="1" applyFill="1" applyBorder="1" applyAlignment="1">
      <alignment horizontal="center" vertical="center"/>
    </xf>
    <xf numFmtId="203" fontId="6" fillId="4" borderId="3" xfId="1" applyNumberFormat="1" applyFont="1" applyFill="1" applyBorder="1" applyAlignment="1">
      <alignment vertical="center"/>
    </xf>
    <xf numFmtId="204" fontId="6" fillId="4" borderId="3" xfId="1" applyNumberFormat="1" applyFont="1" applyFill="1" applyBorder="1" applyAlignment="1">
      <alignment vertical="center"/>
    </xf>
    <xf numFmtId="203" fontId="6" fillId="4" borderId="3" xfId="1" applyNumberFormat="1" applyFont="1" applyFill="1" applyBorder="1" applyAlignment="1">
      <alignment horizontal="right" vertical="center"/>
    </xf>
    <xf numFmtId="204" fontId="6" fillId="4" borderId="3" xfId="1" applyNumberFormat="1" applyFont="1" applyFill="1" applyBorder="1" applyAlignment="1">
      <alignment horizontal="right" vertical="center"/>
    </xf>
  </cellXfs>
  <cellStyles count="1">
    <cellStyle name="Normal" xfId="0"/>
  </cellStyle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082ae9395e60462d" /><Relationship Type="http://schemas.openxmlformats.org/officeDocument/2006/relationships/theme" Target="/xl/theme/theme1.xml" Id="Ref979147af9b4790" /><Relationship Type="http://schemas.openxmlformats.org/officeDocument/2006/relationships/sharedStrings" Target="/xl/sharedStrings.xml" Id="Rbec0c069b3464f5b" /><Relationship Type="http://schemas.openxmlformats.org/officeDocument/2006/relationships/worksheet" Target="/xl/worksheets/sheet1.xml" Id="R982cd5fd720e44ac" /><Relationship Type="http://schemas.openxmlformats.org/officeDocument/2006/relationships/worksheet" Target="/xl/worksheets/sheet2.xml" Id="Rc6b797e59aa4479a" /><Relationship Type="http://schemas.openxmlformats.org/officeDocument/2006/relationships/worksheet" Target="/xl/worksheets/sheet3.xml" Id="Rd9eb575a4bbb409e" /><Relationship Type="http://schemas.openxmlformats.org/officeDocument/2006/relationships/worksheet" Target="/xl/worksheets/sheet4.xml" Id="Re509fbf6d44c447e" /><Relationship Type="http://schemas.openxmlformats.org/officeDocument/2006/relationships/worksheet" Target="/xl/worksheets/sheet5.xml" Id="R21a59f9559974aa4" /><Relationship Type="http://schemas.openxmlformats.org/officeDocument/2006/relationships/worksheet" Target="/xl/worksheets/sheet6.xml" Id="R391c11a908b64645" /><Relationship Id="rShipyard7" Type="http://schemas.openxmlformats.org/officeDocument/2006/relationships/worksheet" Target="worksheets/sheet7.xml" /><Relationship Id="rShipyard8" Type="http://schemas.openxmlformats.org/officeDocument/2006/relationships/worksheet" Target="worksheets/sheet8.xml" /></Relationships>
</file>

<file path=xl/tables/table1.xml><?xml version="1.0" encoding="utf-8"?>
<x:table xmlns:x="http://schemas.openxmlformats.org/spreadsheetml/2006/main" id="1" name="MilitaryItems" displayName="MilitaryItems" ref="A1:K3" headerRowCount="1" totalsRowCount="0" totalsRowShown="0">
  <x:autoFilter ref="A1:K3"/>
  <x:tableColumns count="11">
    <x:tableColumn id="1" name="zh_CN"/>
    <x:tableColumn id="2" name="en_US"/>
    <x:tableColumn id="3" name="class"/>
    <x:tableColumn id="4" name="id"/>
    <x:tableColumn id="5" name="properties"/>
    <x:tableColumn id="6" name="tag (vanilla)"/>
    <x:tableColumn id="7" name="tag (c:)"/>
    <x:tableColumn id="8" name="tag (this mod)"/>
    <x:tableColumn id="9" name="Loot"/>
    <x:tableColumn id="10" name="Recipes"/>
    <x:tableColumn id="11" name="状态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MilitaryPermissions" displayName="MilitaryPermissions" ref="A1:H24" headerRowCount="1" totalsRowCount="0" totalsRowShown="0">
  <x:autoFilter ref="A1:H24"/>
  <x:tableColumns count="8">
    <x:tableColumn id="1" name="家族"/>
    <x:tableColumn id="2" name="子类"/>
    <x:tableColumn id="3" name="许可名称"/>
    <x:tableColumn id="4" name="en_US"/>
    <x:tableColumn id="5" name="许可 ID（建议）"/>
    <x:tableColumn id="6" name="子类 ID（建议）"/>
    <x:tableColumn id="7" name="用途边界"/>
    <x:tableColumn id="8" name="状态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MilitaryRecipes" displayName="MilitaryRecipes" ref="A1:L5" headerRowCount="1" totalsRowCount="0" totalsRowShown="0">
  <x:autoFilter ref="A1:L5"/>
  <x:tableColumns count="12">
    <x:tableColumn id="1" name="名称"/>
    <x:tableColumn id="2" name="配方 ID（建议）"/>
    <x:tableColumn id="3" name="方式"/>
    <x:tableColumn id="4" name="图纸槽位（格）"/>
    <x:tableColumn id="5" name="每格消耗（张）"/>
    <x:tableColumn id="6" name="纸（张）"/>
    <x:tableColumn id="7" name="蓝染（个）"/>
    <x:tableColumn id="8" name="输出（张）"/>
    <x:tableColumn id="9" name="净增（张）"/>
    <x:tableColumn id="10" name="许可处理"/>
    <x:tableColumn id="11" name="排列 / 余留"/>
    <x:tableColumn id="12" name="状态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MilitaryLoot" displayName="MilitaryLoot" ref="A1:I3" headerRowCount="1" totalsRowCount="0" totalsRowShown="0">
  <x:autoFilter ref="A1:I3"/>
  <x:tableColumns count="9">
    <x:tableColumn id="1" name="来源"/>
    <x:tableColumn id="2" name="战利品表 ID"/>
    <x:tableColumn id="3" name="0张概率"/>
    <x:tableColumn id="4" name="1张概率"/>
    <x:tableColumn id="5" name="2张概率"/>
    <x:tableColumn id="6" name="平均数量（张）"/>
    <x:tableColumn id="7" name="单张内容"/>
    <x:tableColumn id="8" name="两张处理"/>
    <x:tableColumn id="9" name="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MilitaryAdvancements" displayName="MilitaryAdvancements" ref="A1:H3" headerRowCount="1" totalsRowCount="0" totalsRowShown="0">
  <x:autoFilter ref="A1:H3"/>
  <x:tableColumns count="8">
    <x:tableColumn id="1" name="进度"/>
    <x:tableColumn id="2" name="进度 ID（建议）"/>
    <x:tableColumn id="3" name="家族"/>
    <x:tableColumn id="4" name="许可目标数"/>
    <x:tableColumn id="5" name="累计方式"/>
    <x:tableColumn id="6" name="取得判定"/>
    <x:tableColumn id="7" name="不回退条件"/>
    <x:tableColumn id="8" name="状态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6" name="MilitaryFacilities" displayName="MilitaryFacilities" ref="A1:H4" headerRowCount="1" totalsRowCount="0" totalsRowShown="0">
  <x:autoFilter ref="A1:H4"/>
  <x:tableColumns count="8">
    <x:tableColumn id="1" name="zh_CN"/>
    <x:tableColumn id="2" name="en_US（暂定）"/>
    <x:tableColumn id="3" name="class"/>
    <x:tableColumn id="4" name="id"/>
    <x:tableColumn id="5" name="properties"/>
    <x:tableColumn id="6" name="图纸关系"/>
    <x:tableColumn id="7" name="Recipes"/>
    <x:tableColumn id="8" name="状态"/>
  </x:tableColumns>
  <x:tableStyleInfo name="TableStyleLight9" showFirstColumn="0" showLastColumn="0" showRowStripes="1" showColumnStripes="0"/>
</x:table>
</file>

<file path=xl/tables/table7.xml><?xml version="1.0" encoding="utf-8"?>
<table xmlns="http://schemas.openxmlformats.org/spreadsheetml/2006/main" id="7" name="ShipyardSettings" displayName="ShipyardSettings" ref="A1:F35" headerRowCount="1" totalsRowCount="0" totalsRowShown="0">
  <tableColumns count="6">
    <tableColumn id="1" name="参数ID"/>
    <tableColumn id="2" name="名称"/>
    <tableColumn id="3" name="数值／规则"/>
    <tableColumn id="4" name="单位"/>
    <tableColumn id="5" name="说明"/>
    <tableColumn id="6" name="状态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ShipyardCosts" displayName="ShipyardCosts" ref="A1:M13" headerRowCount="1" totalsRowCount="0" totalsRowShown="0">
  <tableColumns count="13">
    <tableColumn id="1" name="舰船ID"/>
    <tableColumn id="2" name="舰名"/>
    <tableColumn id="3" name="船型"/>
    <tableColumn id="4" name="舰种"/>
    <tableColumn id="5" name="燃油(mB)"/>
    <tableColumn id="6" name="弹药点"/>
    <tableColumn id="7" name="钢锭"/>
    <tableColumn id="8" name="铝锭"/>
    <tableColumn id="9" name="建造秒"/>
    <tableColumn id="10" name="进度tick"/>
    <tableColumn id="11" name="主炮等价件数"/>
    <tableColumn id="12" name="建造分:秒"/>
    <tableColumn id="13" name="状态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adec16a3544d5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b3d048a5db14f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f7890b549134d0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faf920eb8c2472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6089483d962462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bc5f06cfe414526" /></Relationships>
</file>

<file path=xl/worksheets/_rels/sheet7.xml.rels><?xml version='1.0' encoding='utf-8'?>
<Relationships xmlns="http://schemas.openxmlformats.org/package/2006/relationships"><Relationship Type="http://schemas.openxmlformats.org/officeDocument/2006/relationships/table" Target="../tables/table7.xml" Id="Rbd419ae7a76c4976" /></Relationships>
</file>

<file path=xl/worksheets/_rels/sheet8.xml.rels><?xml version='1.0' encoding='utf-8'?>
<Relationships xmlns="http://schemas.openxmlformats.org/package/2006/relationships"><Relationship Type="http://schemas.openxmlformats.org/officeDocument/2006/relationships/table" Target="../tables/table8.xml" Id="R95d0055f24274c65" 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1" workbookViewId="0">
      <pane ySplit="1" topLeftCell="A2" activePane="bottomLeft" state="frozen"/>
    </sheetView>
  </sheetViews>
  <sheetFormatPr defaultRowHeight="15"/>
  <cols>
    <col min="1" max="1" width="22.729999542236328" hidden="0" customWidth="1"/>
    <col min="2" max="2" width="30" hidden="0" customWidth="1"/>
    <col min="3" max="3" width="27" hidden="0" customWidth="1"/>
    <col min="4" max="4" width="29" hidden="0" customWidth="1"/>
    <col min="5" max="5" width="55" hidden="0" customWidth="1"/>
    <col min="6" max="6" width="18" hidden="0" customWidth="1"/>
    <col min="7" max="7" width="18" hidden="0" customWidth="1"/>
    <col min="8" max="8" width="18" hidden="0" customWidth="1"/>
    <col min="9" max="9" width="47" hidden="0" customWidth="1"/>
    <col min="10" max="10" width="53" hidden="0" customWidth="1"/>
    <col min="11" max="11" width="14" hidden="0" customWidth="1"/>
  </cols>
  <sheetData>
    <row r="1" ht="34" customHeight="1">
      <c r="A1" s="9" t="str">
        <v>zh_CN</v>
      </c>
      <c r="B1" s="9" t="str">
        <v>en_US</v>
      </c>
      <c r="C1" s="9" t="str">
        <v>class</v>
      </c>
      <c r="D1" s="9" t="str">
        <v>id</v>
      </c>
      <c r="E1" s="9" t="str">
        <v>properties</v>
      </c>
      <c r="F1" s="9" t="str">
        <v>tag (vanilla)</v>
      </c>
      <c r="G1" s="9" t="str">
        <v>tag (c:)</v>
      </c>
      <c r="H1" s="9" t="str">
        <v>tag (this mod)</v>
      </c>
      <c r="I1" s="9" t="str">
        <v>Loot</v>
      </c>
      <c r="J1" s="9" t="str">
        <v>Recipes</v>
      </c>
      <c r="K1" s="9" t="str">
        <v>状态</v>
      </c>
    </row>
    <row r="2" ht="59" customHeight="1">
      <c r="A2" s="4" t="str">
        <v>舰船建造图纸</v>
      </c>
      <c r="B2" s="4" t="str">
        <v>Ship Blueprint</v>
      </c>
      <c r="C2" s="4" t="str">
        <v>SHIP_BLUEPRINT</v>
      </c>
      <c r="D2" s="4" t="str">
        <v>ship_blueprint</v>
      </c>
      <c r="E2" s="4" t="str">
        <v>堆叠64。不可变具体许可集合，家族由物品决定。单子类名称：大型船/中型船/小型船图纸；跨子类名称：舰船建造图纸。悬浮分类为大型/中型/小型，只列许可简称。</v>
      </c>
      <c r="F2" s="4" t="str">
        <v>—</v>
      </c>
      <c r="G2" s="4" t="str">
        <v>—</v>
      </c>
      <c r="H2" s="4" t="str">
        <v>—</v>
      </c>
      <c r="I2" s="4" t="str">
        <v>沉船财宝箱、埋藏宝藏；每张只含一个舰船子类的非空许可集合。</v>
      </c>
      <c r="J2" s="4" t="str">
        <v>合并：同家族2–4格各扣1张，固定产出1张许可并集图纸；有序扩展：1原图+1蓝染+7纸产8张，原图不返还。</v>
      </c>
      <c r="K2" s="4" t="str">
        <v>已实现</v>
      </c>
    </row>
    <row r="3" ht="59" customHeight="1">
      <c r="A3" s="4" t="str">
        <v>装备开发图纸</v>
      </c>
      <c r="B3" s="4" t="str">
        <v>Equipment Blueprint</v>
      </c>
      <c r="C3" s="4" t="str">
        <v>EQUIPMENT_BLUEPRINT</v>
      </c>
      <c r="D3" s="4" t="str">
        <v>equipment_blueprint</v>
      </c>
      <c r="E3" s="4" t="str">
        <v>堆叠64。不可变具体许可集合，家族由物品决定。单子类名称：武器/设备/飞机图纸；跨子类名称：装备开发图纸。悬浮说明只列可建造类型。</v>
      </c>
      <c r="F3" s="4" t="str">
        <v>—</v>
      </c>
      <c r="G3" s="4" t="str">
        <v>—</v>
      </c>
      <c r="H3" s="4" t="str">
        <v>—</v>
      </c>
      <c r="I3" s="4" t="str">
        <v>沉船财宝箱、埋藏宝藏；每张只含一个装备子类的非空许可集合。</v>
      </c>
      <c r="J3" s="4" t="str">
        <v>合并：同家族2–4格各扣1张，固定产出1张许可并集图纸；有序扩展：1原图+1蓝染+7纸产8张，原图不返还。</v>
      </c>
      <c r="K3" s="4" t="str">
        <v>已实现</v>
      </c>
    </row>
    <row r="5" ht="42" customHeight="1">
      <c r="A5" s="12" t="str">
        <v>规则来源</v>
      </c>
      <c r="B5" s="12" t="str">
        <v>3.2.1-蓝图-实现方案.md（2026-10-23）。原始设计：策划书.pdf 第3–4页3.2.1；最终规则以实现方案中的已确定项为准。</v>
      </c>
      <c r="C5" s="12"/>
      <c r="D5" s="12"/>
      <c r="E5" s="12"/>
      <c r="F5" s="12"/>
      <c r="G5" s="12"/>
      <c r="H5" s="12"/>
      <c r="I5" s="12"/>
      <c r="J5" s="12"/>
      <c r="K5" s="12"/>
    </row>
    <row r="6" ht="42" customHeight="1">
      <c r="A6" s="12" t="str">
        <v>状态口径</v>
      </c>
      <c r="B6" s="12" t="str">
        <v>蓝图、单工位船坞已实现（0.1.75）；参数见船坞建造和船坞参数页。开发工厂、弹药工厂后续实现；合并固定产出1张。</v>
      </c>
      <c r="C6" s="12"/>
      <c r="D6" s="12"/>
      <c r="E6" s="12"/>
      <c r="F6" s="12"/>
      <c r="G6" s="12"/>
      <c r="H6" s="12"/>
      <c r="I6" s="12"/>
      <c r="J6" s="12"/>
      <c r="K6" s="12"/>
    </row>
    <row r="7" ht="42" customHeight="1">
      <c r="A7" s="12" t="str">
        <v>共同行为</v>
      </c>
      <c r="B7" s="12" t="str">
        <v>图纸不绑定玩家。每制造一件产物固定消耗一张。扩展保留名称；合并名称全相同则保留，否则恢复动态名称。不保存稀有度、技术等级或个人解锁状态。</v>
      </c>
      <c r="C7" s="12"/>
      <c r="D7" s="12"/>
      <c r="E7" s="12"/>
      <c r="F7" s="12"/>
      <c r="G7" s="12"/>
      <c r="H7" s="12"/>
      <c r="I7" s="12"/>
      <c r="J7" s="12"/>
      <c r="K7" s="12"/>
    </row>
  </sheetData>
  <mergeCells>
    <mergeCell ref="B5:K5"/>
    <mergeCell ref="B6:K6"/>
    <mergeCell ref="B7:K7"/>
  </mergeCells>
  <pageMargins left="0.7" right="0.7" top="0.75" bottom="0.75" header="0.3" footer="0.3"/>
  <tableParts count="1">
    <tablePart r:id="R8badec16a3544d56"/>
  </tableParts>
</worksheet>
</file>

<file path=xl/worksheets/sheet2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28" hidden="0" customWidth="1"/>
    <x:col min="5" max="5" width="51" hidden="0" customWidth="1"/>
    <x:col min="6" max="6" width="31" hidden="0" customWidth="1"/>
    <x:col min="7" max="7" width="52" hidden="0" customWidth="1"/>
    <x:col min="8" max="8" width="14" hidden="0" customWidth="1"/>
  </x:cols>
  <x:sheetData>
    <x:row r="1" ht="34" customHeight="1">
      <x:c r="A1" s="9" t="str">
        <x:v>家族</x:v>
      </x:c>
      <x:c r="B1" s="9" t="str">
        <x:v>子类</x:v>
      </x:c>
      <x:c r="C1" s="9" t="str">
        <x:v>许可名称</x:v>
      </x:c>
      <x:c r="D1" s="9" t="str">
        <x:v>en_US</x:v>
      </x:c>
      <x:c r="E1" s="9" t="str">
        <x:v>许可 ID（建议）</x:v>
      </x:c>
      <x:c r="F1" s="9" t="str">
        <x:v>子类 ID（建议）</x:v>
      </x:c>
      <x:c r="G1" s="9" t="str">
        <x:v>用途边界</x:v>
      </x:c>
      <x:c r="H1" s="9" t="str">
        <x:v>状态</x:v>
      </x:c>
    </x:row>
    <x:row r="2" ht="30" customHeight="1">
      <x:c r="A2" s="4" t="str">
        <x:v>舰船</x:v>
      </x:c>
      <x:c r="B2" s="4" t="str">
        <x:v>大型</x:v>
      </x:c>
      <x:c r="C2" s="4" t="str">
        <x:v>战列</x:v>
      </x:c>
      <x:c r="D2" s="4" t="str">
        <x:v>Battleship</x:v>
      </x:c>
      <x:c r="E2" s="4" t="str">
        <x:v>piranport:ship/battleship</x:v>
      </x:c>
      <x:c r="F2" s="4" t="str">
        <x:v>piranport:ship/large</x:v>
      </x:c>
      <x:c r="G2" s="4" t="str">
        <x:v>中文全称：战列舰。包含该舰种的导弹化发展。</x:v>
      </x:c>
      <x:c r="H2" s="4" t="str">
        <x:v>已实现</x:v>
      </x:c>
    </x:row>
    <x:row r="3" ht="30" customHeight="1">
      <x:c r="A3" s="4" t="str">
        <x:v>舰船</x:v>
      </x:c>
      <x:c r="B3" s="4" t="str">
        <x:v>大型</x:v>
      </x:c>
      <x:c r="C3" s="4" t="str">
        <x:v>战巡</x:v>
      </x:c>
      <x:c r="D3" s="4" t="str">
        <x:v>Battlecruiser</x:v>
      </x:c>
      <x:c r="E3" s="4" t="str">
        <x:v>piranport:ship/battlecruiser</x:v>
      </x:c>
      <x:c r="F3" s="4" t="str">
        <x:v>piranport:ship/large</x:v>
      </x:c>
      <x:c r="G3" s="4" t="str">
        <x:v>中文全称：战列巡洋舰。包含该舰种的导弹化发展。</x:v>
      </x:c>
      <x:c r="H3" s="4" t="str">
        <x:v>已实现</x:v>
      </x:c>
    </x:row>
    <x:row r="4" ht="30" customHeight="1">
      <x:c r="A4" s="4" t="str">
        <x:v>舰船</x:v>
      </x:c>
      <x:c r="B4" s="4" t="str">
        <x:v>大型</x:v>
      </x:c>
      <x:c r="C4" s="4" t="str">
        <x:v>航母</x:v>
      </x:c>
      <x:c r="D4" s="4" t="str">
        <x:v>Aircraft Carrier</x:v>
      </x:c>
      <x:c r="E4" s="4" t="str">
        <x:v>piranport:ship/aircraft_carrier</x:v>
      </x:c>
      <x:c r="F4" s="4" t="str">
        <x:v>piranport:ship/large</x:v>
      </x:c>
      <x:c r="G4" s="4" t="str">
        <x:v>中文全称：航空母舰。舰船许可，不等同于飞机许可。</x:v>
      </x:c>
      <x:c r="H4" s="4" t="str">
        <x:v>已实现</x:v>
      </x:c>
    </x:row>
    <x:row r="5" ht="30" customHeight="1">
      <x:c r="A5" s="4" t="str">
        <x:v>舰船</x:v>
      </x:c>
      <x:c r="B5" s="4" t="str">
        <x:v>中型</x:v>
      </x:c>
      <x:c r="C5" s="4" t="str">
        <x:v>重巡</x:v>
      </x:c>
      <x:c r="D5" s="4" t="str">
        <x:v>Heavy Cruiser</x:v>
      </x:c>
      <x:c r="E5" s="4" t="str">
        <x:v>piranport:ship/heavy_cruiser</x:v>
      </x:c>
      <x:c r="F5" s="4" t="str">
        <x:v>piranport:ship/medium</x:v>
      </x:c>
      <x:c r="G5" s="4" t="str">
        <x:v>中文全称：重巡洋舰。包含该舰种的导弹化发展。</x:v>
      </x:c>
      <x:c r="H5" s="4" t="str">
        <x:v>已实现</x:v>
      </x:c>
    </x:row>
    <x:row r="6" ht="30" customHeight="1">
      <x:c r="A6" s="4" t="str">
        <x:v>舰船</x:v>
      </x:c>
      <x:c r="B6" s="4" t="str">
        <x:v>中型</x:v>
      </x:c>
      <x:c r="C6" s="4" t="str">
        <x:v>轻母</x:v>
      </x:c>
      <x:c r="D6" s="4" t="str">
        <x:v>Light Aircraft Carrier</x:v>
      </x:c>
      <x:c r="E6" s="4" t="str">
        <x:v>piranport:ship/light_aircraft_carrier</x:v>
      </x:c>
      <x:c r="F6" s="4" t="str">
        <x:v>piranport:ship/medium</x:v>
      </x:c>
      <x:c r="G6" s="4" t="str">
        <x:v>中文全称：轻型航空母舰。舰船许可，不等同于飞机许可。</x:v>
      </x:c>
      <x:c r="H6" s="4" t="str">
        <x:v>已实现</x:v>
      </x:c>
    </x:row>
    <x:row r="7" ht="30" customHeight="1">
      <x:c r="A7" s="4" t="str">
        <x:v>舰船</x:v>
      </x:c>
      <x:c r="B7" s="4" t="str">
        <x:v>中型</x:v>
      </x:c>
      <x:c r="C7" s="4" t="str">
        <x:v>轻巡</x:v>
      </x:c>
      <x:c r="D7" s="4" t="str">
        <x:v>Light Cruiser</x:v>
      </x:c>
      <x:c r="E7" s="4" t="str">
        <x:v>piranport:ship/light_cruiser</x:v>
      </x:c>
      <x:c r="F7" s="4" t="str">
        <x:v>piranport:ship/medium</x:v>
      </x:c>
      <x:c r="G7" s="4" t="str">
        <x:v>中文全称：轻巡洋舰。包含该舰种的导弹化发展。</x:v>
      </x:c>
      <x:c r="H7" s="4" t="str">
        <x:v>已实现</x:v>
      </x:c>
    </x:row>
    <x:row r="8" ht="30" customHeight="1">
      <x:c r="A8" s="4" t="str">
        <x:v>舰船</x:v>
      </x:c>
      <x:c r="B8" s="4" t="str">
        <x:v>小型</x:v>
      </x:c>
      <x:c r="C8" s="4" t="str">
        <x:v>重炮</x:v>
      </x:c>
      <x:c r="D8" s="4" t="str">
        <x:v>Monitor</x:v>
      </x:c>
      <x:c r="E8" s="4" t="str">
        <x:v>piranport:ship/monitor</x:v>
      </x:c>
      <x:c r="F8" s="4" t="str">
        <x:v>piranport:ship/small</x:v>
      </x:c>
      <x:c r="G8" s="4" t="str">
        <x:v>中文全称：浅水重炮舰。舰种“重炮”，不等同于主炮武器。</x:v>
      </x:c>
      <x:c r="H8" s="4" t="str">
        <x:v>已实现</x:v>
      </x:c>
    </x:row>
    <x:row r="9" ht="30" customHeight="1">
      <x:c r="A9" s="4" t="str">
        <x:v>舰船</x:v>
      </x:c>
      <x:c r="B9" s="4" t="str">
        <x:v>小型</x:v>
      </x:c>
      <x:c r="C9" s="4" t="str">
        <x:v>驱逐</x:v>
      </x:c>
      <x:c r="D9" s="4" t="str">
        <x:v>Destroyer</x:v>
      </x:c>
      <x:c r="E9" s="4" t="str">
        <x:v>piranport:ship/destroyer</x:v>
      </x:c>
      <x:c r="F9" s="4" t="str">
        <x:v>piranport:ship/small</x:v>
      </x:c>
      <x:c r="G9" s="4" t="str">
        <x:v>中文全称：驱逐舰。包含该舰种的导弹化发展。</x:v>
      </x:c>
      <x:c r="H9" s="4" t="str">
        <x:v>已实现</x:v>
      </x:c>
    </x:row>
    <x:row r="10" ht="30" customHeight="1">
      <x:c r="A10" s="4" t="str">
        <x:v>舰船</x:v>
      </x:c>
      <x:c r="B10" s="4" t="str">
        <x:v>小型</x:v>
      </x:c>
      <x:c r="C10" s="4" t="str">
        <x:v>潜艇</x:v>
      </x:c>
      <x:c r="D10" s="4" t="str">
        <x:v>Submarine</x:v>
      </x:c>
      <x:c r="E10" s="4" t="str">
        <x:v>piranport:ship/submarine</x:v>
      </x:c>
      <x:c r="F10" s="4" t="str">
        <x:v>piranport:ship/small</x:v>
      </x:c>
      <x:c r="G10" s="4" t="str">
        <x:v>中文全称：潜水艇。潜艇、潜水艇为同义名称。</x:v>
      </x:c>
      <x:c r="H10" s="4" t="str">
        <x:v>已实现</x:v>
      </x:c>
    </x:row>
    <x:row r="11" ht="30" customHeight="1">
      <x:c r="A11" s="4" t="str">
        <x:v>装备</x:v>
      </x:c>
      <x:c r="B11" s="4" t="str">
        <x:v>武器</x:v>
      </x:c>
      <x:c r="C11" s="4" t="str">
        <x:v>主炮</x:v>
      </x:c>
      <x:c r="D11" s="4" t="str">
        <x:v>Main Gun</x:v>
      </x:c>
      <x:c r="E11" s="4" t="str">
        <x:v>piranport:equipment/main_gun</x:v>
      </x:c>
      <x:c r="F11" s="4" t="str">
        <x:v>piranport:equipment/weapon</x:v>
      </x:c>
      <x:c r="G11" s="4" t="str">
        <x:v>制造武器，不包含炮弹弹药。</x:v>
      </x:c>
      <x:c r="H11" s="4" t="str">
        <x:v>已实现</x:v>
      </x:c>
    </x:row>
    <x:row r="12" ht="30" customHeight="1">
      <x:c r="A12" s="4" t="str">
        <x:v>装备</x:v>
      </x:c>
      <x:c r="B12" s="4" t="str">
        <x:v>武器</x:v>
      </x:c>
      <x:c r="C12" s="4" t="str">
        <x:v>鱼雷发射器</x:v>
      </x:c>
      <x:c r="D12" s="4" t="str">
        <x:v>Torpedo Launcher</x:v>
      </x:c>
      <x:c r="E12" s="4" t="str">
        <x:v>piranport:equipment/torpedo_launcher</x:v>
      </x:c>
      <x:c r="F12" s="4" t="str">
        <x:v>piranport:equipment/weapon</x:v>
      </x:c>
      <x:c r="G12" s="4" t="str">
        <x:v>发射器留在武器槽中，鱼雷属于独立弹药。</x:v>
      </x:c>
      <x:c r="H12" s="4" t="str">
        <x:v>已实现</x:v>
      </x:c>
    </x:row>
    <x:row r="13" ht="30" customHeight="1">
      <x:c r="A13" s="4" t="str">
        <x:v>装备</x:v>
      </x:c>
      <x:c r="B13" s="4" t="str">
        <x:v>武器</x:v>
      </x:c>
      <x:c r="C13" s="4" t="str">
        <x:v>深弹投射器</x:v>
      </x:c>
      <x:c r="D13" s="4" t="str">
        <x:v>Depth Charge Projector</x:v>
      </x:c>
      <x:c r="E13" s="4" t="str">
        <x:v>piranport:equipment/depth_charge_projector</x:v>
      </x:c>
      <x:c r="F13" s="4" t="str">
        <x:v>piranport:equipment/weapon</x:v>
      </x:c>
      <x:c r="G13" s="4" t="str">
        <x:v>制造投射装置，不自动授权深弹弹药。</x:v>
      </x:c>
      <x:c r="H13" s="4" t="str">
        <x:v>已实现</x:v>
      </x:c>
    </x:row>
    <x:row r="14" ht="30" customHeight="1">
      <x:c r="A14" s="4" t="str">
        <x:v>装备</x:v>
      </x:c>
      <x:c r="B14" s="4" t="str">
        <x:v>武器</x:v>
      </x:c>
      <x:c r="C14" s="4" t="str">
        <x:v>导弹发射器</x:v>
      </x:c>
      <x:c r="D14" s="4" t="str">
        <x:v>Missile Launcher</x:v>
      </x:c>
      <x:c r="E14" s="4" t="str">
        <x:v>piranport:equipment/missile_launcher</x:v>
      </x:c>
      <x:c r="F14" s="4" t="str">
        <x:v>piranport:equipment/weapon</x:v>
      </x:c>
      <x:c r="G14" s="4" t="str">
        <x:v>导弹发射器留在武器槽中，导弹属于独立弹药。</x:v>
      </x:c>
      <x:c r="H14" s="4" t="str">
        <x:v>已实现</x:v>
      </x:c>
    </x:row>
    <x:row r="15" ht="30" customHeight="1">
      <x:c r="A15" s="4" t="str">
        <x:v>装备</x:v>
      </x:c>
      <x:c r="B15" s="4" t="str">
        <x:v>设备</x:v>
      </x:c>
      <x:c r="C15" s="4" t="str">
        <x:v>装甲</x:v>
      </x:c>
      <x:c r="D15" s="4" t="str">
        <x:v>Armor</x:v>
      </x:c>
      <x:c r="E15" s="4" t="str">
        <x:v>piranport:equipment/armor</x:v>
      </x:c>
      <x:c r="F15" s="4" t="str">
        <x:v>piranport:equipment/device</x:v>
      </x:c>
      <x:c r="G15" s="4" t="str">
        <x:v>被动提升装置。</x:v>
      </x:c>
      <x:c r="H15" s="4" t="str">
        <x:v>已实现</x:v>
      </x:c>
    </x:row>
    <x:row r="16" ht="30" customHeight="1">
      <x:c r="A16" s="4" t="str">
        <x:v>装备</x:v>
      </x:c>
      <x:c r="B16" s="4" t="str">
        <x:v>设备</x:v>
      </x:c>
      <x:c r="C16" s="4" t="str">
        <x:v>动力系统</x:v>
      </x:c>
      <x:c r="D16" s="4" t="str">
        <x:v>Propulsion System</x:v>
      </x:c>
      <x:c r="E16" s="4" t="str">
        <x:v>piranport:equipment/propulsion_system</x:v>
      </x:c>
      <x:c r="F16" s="4" t="str">
        <x:v>piranport:equipment/device</x:v>
      </x:c>
      <x:c r="G16" s="4" t="str">
        <x:v>被动提升装置。</x:v>
      </x:c>
      <x:c r="H16" s="4" t="str">
        <x:v>已实现</x:v>
      </x:c>
    </x:row>
    <x:row r="17" ht="30" customHeight="1">
      <x:c r="A17" s="4" t="str">
        <x:v>装备</x:v>
      </x:c>
      <x:c r="B17" s="4" t="str">
        <x:v>设备</x:v>
      </x:c>
      <x:c r="C17" s="4" t="str">
        <x:v>雷达</x:v>
      </x:c>
      <x:c r="D17" s="4" t="str">
        <x:v>Radar</x:v>
      </x:c>
      <x:c r="E17" s="4" t="str">
        <x:v>piranport:equipment/radar</x:v>
      </x:c>
      <x:c r="F17" s="4" t="str">
        <x:v>piranport:equipment/device</x:v>
      </x:c>
      <x:c r="G17" s="4" t="str">
        <x:v>被动提升装置。</x:v>
      </x:c>
      <x:c r="H17" s="4" t="str">
        <x:v>已实现</x:v>
      </x:c>
    </x:row>
    <x:row r="18" ht="30" customHeight="1">
      <x:c r="A18" s="4" t="str">
        <x:v>装备</x:v>
      </x:c>
      <x:c r="B18" s="4" t="str">
        <x:v>设备</x:v>
      </x:c>
      <x:c r="C18" s="4" t="str">
        <x:v>声呐</x:v>
      </x:c>
      <x:c r="D18" s="4" t="str">
        <x:v>Sonar</x:v>
      </x:c>
      <x:c r="E18" s="4" t="str">
        <x:v>piranport:equipment/sonar</x:v>
      </x:c>
      <x:c r="F18" s="4" t="str">
        <x:v>piranport:equipment/device</x:v>
      </x:c>
      <x:c r="G18" s="4" t="str">
        <x:v>被动提升装置。</x:v>
      </x:c>
      <x:c r="H18" s="4" t="str">
        <x:v>已实现</x:v>
      </x:c>
    </x:row>
    <x:row r="19" ht="30" customHeight="1">
      <x:c r="A19" s="4" t="str">
        <x:v>装备</x:v>
      </x:c>
      <x:c r="B19" s="4" t="str">
        <x:v>设备</x:v>
      </x:c>
      <x:c r="C19" s="4" t="str">
        <x:v>快修</x:v>
      </x:c>
      <x:c r="D19" s="4" t="str">
        <x:v>Quick Repair</x:v>
      </x:c>
      <x:c r="E19" s="4" t="str">
        <x:v>piranport:equipment/quick_repair</x:v>
      </x:c>
      <x:c r="F19" s="4" t="str">
        <x:v>piranport:equipment/device</x:v>
      </x:c>
      <x:c r="G19" s="4" t="str">
        <x:v>具体设备功能后续定义。</x:v>
      </x:c>
      <x:c r="H19" s="4" t="str">
        <x:v>已实现</x:v>
      </x:c>
    </x:row>
    <x:row r="20" ht="30" customHeight="1">
      <x:c r="A20" s="4" t="str">
        <x:v>装备</x:v>
      </x:c>
      <x:c r="B20" s="4" t="str">
        <x:v>设备</x:v>
      </x:c>
      <x:c r="C20" s="4" t="str">
        <x:v>损管</x:v>
      </x:c>
      <x:c r="D20" s="4" t="str">
        <x:v>Damage Control</x:v>
      </x:c>
      <x:c r="E20" s="4" t="str">
        <x:v>piranport:equipment/damage_control</x:v>
      </x:c>
      <x:c r="F20" s="4" t="str">
        <x:v>piranport:equipment/device</x:v>
      </x:c>
      <x:c r="G20" s="4" t="str">
        <x:v>具体设备功能后续定义。</x:v>
      </x:c>
      <x:c r="H20" s="4" t="str">
        <x:v>已实现</x:v>
      </x:c>
    </x:row>
    <x:row r="21" ht="30" customHeight="1">
      <x:c r="A21" s="4" t="str">
        <x:v>装备</x:v>
      </x:c>
      <x:c r="B21" s="4" t="str">
        <x:v>飞机</x:v>
      </x:c>
      <x:c r="C21" s="4" t="str">
        <x:v>战斗机</x:v>
      </x:c>
      <x:c r="D21" s="4" t="str">
        <x:v>Fighter</x:v>
      </x:c>
      <x:c r="E21" s="4" t="str">
        <x:v>piranport:equipment/fighter</x:v>
      </x:c>
      <x:c r="F21" s="4" t="str">
        <x:v>piranport:equipment/aircraft</x:v>
      </x:c>
      <x:c r="G21" s="4" t="str">
        <x:v>部署为实体时腾空武器槽，返航后恢复飞机物品。</x:v>
      </x:c>
      <x:c r="H21" s="4" t="str">
        <x:v>已实现</x:v>
      </x:c>
    </x:row>
    <x:row r="22" ht="30" customHeight="1">
      <x:c r="A22" s="4" t="str">
        <x:v>装备</x:v>
      </x:c>
      <x:c r="B22" s="4" t="str">
        <x:v>飞机</x:v>
      </x:c>
      <x:c r="C22" s="4" t="str">
        <x:v>轰炸机</x:v>
      </x:c>
      <x:c r="D22" s="4" t="str">
        <x:v>Bomber</x:v>
      </x:c>
      <x:c r="E22" s="4" t="str">
        <x:v>piranport:equipment/bomber</x:v>
      </x:c>
      <x:c r="F22" s="4" t="str">
        <x:v>piranport:equipment/aircraft</x:v>
      </x:c>
      <x:c r="G22" s="4" t="str">
        <x:v>部署为实体时腾空武器槽，返航后恢复飞机物品。</x:v>
      </x:c>
      <x:c r="H22" s="4" t="str">
        <x:v>已实现</x:v>
      </x:c>
    </x:row>
    <x:row r="23" ht="30" customHeight="1">
      <x:c r="A23" s="4" t="str">
        <x:v>装备</x:v>
      </x:c>
      <x:c r="B23" s="4" t="str">
        <x:v>飞机</x:v>
      </x:c>
      <x:c r="C23" s="4" t="str">
        <x:v>鱼雷机</x:v>
      </x:c>
      <x:c r="D23" s="4" t="str">
        <x:v>Torpedo Bomber</x:v>
      </x:c>
      <x:c r="E23" s="4" t="str">
        <x:v>piranport:equipment/torpedo_bomber</x:v>
      </x:c>
      <x:c r="F23" s="4" t="str">
        <x:v>piranport:equipment/aircraft</x:v>
      </x:c>
      <x:c r="G23" s="4" t="str">
        <x:v>飞机许可，不等同于鱼雷发射器或鱼雷弹药。</x:v>
      </x:c>
      <x:c r="H23" s="4" t="str">
        <x:v>已实现</x:v>
      </x:c>
    </x:row>
    <x:row r="24" ht="30" customHeight="1">
      <x:c r="A24" s="4" t="str">
        <x:v>装备</x:v>
      </x:c>
      <x:c r="B24" s="4" t="str">
        <x:v>飞机</x:v>
      </x:c>
      <x:c r="C24" s="4" t="str">
        <x:v>侦察机</x:v>
      </x:c>
      <x:c r="D24" s="4" t="str">
        <x:v>Reconnaissance Aircraft</x:v>
      </x:c>
      <x:c r="E24" s="4" t="str">
        <x:v>piranport:equipment/reconnaissance_aircraft</x:v>
      </x:c>
      <x:c r="F24" s="4" t="str">
        <x:v>piranport:equipment/aircraft</x:v>
      </x:c>
      <x:c r="G24" s="4" t="str">
        <x:v>部署为实体时腾空武器槽，返航后恢复飞机物品。</x:v>
      </x:c>
      <x:c r="H24" s="4" t="str">
        <x:v>已实现</x:v>
      </x:c>
    </x:row>
  </x:sheetData>
  <x:pageMargins left="0.7" right="0.7" top="0.75" bottom="0.75" header="0.3" footer="0.3"/>
  <x:tableParts count="1">
    <x:tablePart xmlns:r="http://schemas.openxmlformats.org/officeDocument/2006/relationships" r:id="R8b3d048a5db14f90"/>
  </x:tableParts>
</x:worksheet>
</file>

<file path=xl/worksheets/sheet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12" hidden="0" customWidth="1"/>
    <x:col min="4" max="4" width="16" hidden="0" customWidth="1"/>
    <x:col min="5" max="5" width="17" hidden="0" customWidth="1"/>
    <x:col min="6" max="6" width="12" hidden="0" customWidth="1"/>
    <x:col min="7" max="7" width="12" hidden="0" customWidth="1"/>
    <x:col min="8" max="8" width="14" hidden="0" customWidth="1"/>
    <x:col min="9" max="9" width="14" hidden="0" customWidth="1"/>
    <x:col min="10" max="10" width="35" hidden="0" customWidth="1"/>
    <x:col min="11" max="11" width="54" hidden="0" customWidth="1"/>
    <x:col min="12" max="12" width="14" hidden="0" customWidth="1"/>
  </x:cols>
  <x:sheetData>
    <x:row r="1" ht="34" customHeight="1">
      <x:c r="A1" s="9" t="str">
        <x:v>名称</x:v>
      </x:c>
      <x:c r="B1" s="9" t="str">
        <x:v>配方 ID（建议）</x:v>
      </x:c>
      <x:c r="C1" s="9" t="str">
        <x:v>方式</x:v>
      </x:c>
      <x:c r="D1" s="9" t="str">
        <x:v>图纸槽位（格）</x:v>
      </x:c>
      <x:c r="E1" s="9" t="str">
        <x:v>每格消耗（张）</x:v>
      </x:c>
      <x:c r="F1" s="9" t="str">
        <x:v>纸（张）</x:v>
      </x:c>
      <x:c r="G1" s="9" t="str">
        <x:v>蓝染（个）</x:v>
      </x:c>
      <x:c r="H1" s="9" t="str">
        <x:v>输出（张）</x:v>
      </x:c>
      <x:c r="I1" s="9" t="str">
        <x:v>净增（张）</x:v>
      </x:c>
      <x:c r="J1" s="9" t="str">
        <x:v>许可处理</x:v>
      </x:c>
      <x:c r="K1" s="9" t="str">
        <x:v>排列 / 余留</x:v>
      </x:c>
      <x:c r="L1" s="9" t="str">
        <x:v>状态</x:v>
      </x:c>
    </x:row>
    <x:row r="2" ht="30" customHeight="1">
      <x:c r="A2" s="4" t="str">
        <x:v>2张合并</x:v>
      </x:c>
      <x:c r="B2" s="4" t="str">
        <x:v>piranport:blueprint_merge</x:v>
      </x:c>
      <x:c r="C2" s="4" t="str">
        <x:v>无序</x:v>
      </x:c>
      <x:c r="D2" s="14" t="n">
        <x:v>2</x:v>
      </x:c>
      <x:c r="E2" s="14" t="n">
        <x:v>1</x:v>
      </x:c>
      <x:c r="F2" s="14" t="n">
        <x:v>0</x:v>
      </x:c>
      <x:c r="G2" s="14" t="n">
        <x:v>0</x:v>
      </x:c>
      <x:c r="H2" s="14" t="n">
        <x:v>1</x:v>
      </x:c>
      <x:c r="I2" s="14" t="n">
        <x:f>H2-D2*E2</x:f>
        <x:v>-1</x:v>
      </x:c>
      <x:c r="J2" s="4" t="str">
        <x:v>同家族许可取并集</x:v>
      </x:c>
      <x:c r="K2" s="4" t="str">
        <x:v>任意位置，每格扣1、固定产出1张；相同许可照常合并，无返还。</x:v>
      </x:c>
      <x:c r="L2" s="4" t="str">
        <x:v>已实现</x:v>
      </x:c>
    </x:row>
    <x:row r="3" ht="30" customHeight="1">
      <x:c r="A3" s="4" t="str">
        <x:v>3张合并</x:v>
      </x:c>
      <x:c r="B3" s="4" t="str">
        <x:v>piranport:blueprint_merge</x:v>
      </x:c>
      <x:c r="C3" s="4" t="str">
        <x:v>无序</x:v>
      </x:c>
      <x:c r="D3" s="14" t="n">
        <x:v>3</x:v>
      </x:c>
      <x:c r="E3" s="14" t="n">
        <x:v>1</x:v>
      </x:c>
      <x:c r="F3" s="14" t="n">
        <x:v>0</x:v>
      </x:c>
      <x:c r="G3" s="14" t="n">
        <x:v>0</x:v>
      </x:c>
      <x:c r="H3" s="14" t="n">
        <x:v>1</x:v>
      </x:c>
      <x:c r="I3" s="14" t="n">
        <x:f>H3-D3*E3</x:f>
        <x:v>-2</x:v>
      </x:c>
      <x:c r="J3" s="4" t="str">
        <x:v>同家族许可取并集</x:v>
      </x:c>
      <x:c r="K3" s="4" t="str">
        <x:v>只统计非空格；槽内堆叠量不限，固定产出1张。</x:v>
      </x:c>
      <x:c r="L3" s="4" t="str">
        <x:v>已实现</x:v>
      </x:c>
    </x:row>
    <x:row r="4" ht="30" customHeight="1">
      <x:c r="A4" s="4" t="str">
        <x:v>4张合并</x:v>
      </x:c>
      <x:c r="B4" s="4" t="str">
        <x:v>piranport:blueprint_merge</x:v>
      </x:c>
      <x:c r="C4" s="4" t="str">
        <x:v>无序</x:v>
      </x:c>
      <x:c r="D4" s="14" t="n">
        <x:v>4</x:v>
      </x:c>
      <x:c r="E4" s="14" t="n">
        <x:v>1</x:v>
      </x:c>
      <x:c r="F4" s="14" t="n">
        <x:v>0</x:v>
      </x:c>
      <x:c r="G4" s="14" t="n">
        <x:v>0</x:v>
      </x:c>
      <x:c r="H4" s="14" t="n">
        <x:v>1</x:v>
      </x:c>
      <x:c r="I4" s="14" t="n">
        <x:f>H4-D4*E4</x:f>
        <x:v>-3</x:v>
      </x:c>
      <x:c r="J4" s="4" t="str">
        <x:v>同家族许可取并集</x:v>
      </x:c>
      <x:c r="K4" s="4" t="str">
        <x:v>第5个非空格或跨家族不匹配；合并固定产出1张。</x:v>
      </x:c>
      <x:c r="L4" s="4" t="str">
        <x:v>已实现</x:v>
      </x:c>
    </x:row>
    <x:row r="5" ht="30" customHeight="1">
      <x:c r="A5" s="4" t="str">
        <x:v>图纸扩展</x:v>
      </x:c>
      <x:c r="B5" s="4" t="str">
        <x:v>piranport:blueprint_expand</x:v>
      </x:c>
      <x:c r="C5" s="4" t="str">
        <x:v>有序</x:v>
      </x:c>
      <x:c r="D5" s="14" t="n">
        <x:v>1</x:v>
      </x:c>
      <x:c r="E5" s="14" t="n">
        <x:v>1</x:v>
      </x:c>
      <x:c r="F5" s="14" t="n">
        <x:v>7</x:v>
      </x:c>
      <x:c r="G5" s="14" t="n">
        <x:v>1</x:v>
      </x:c>
      <x:c r="H5" s="14" t="n">
        <x:v>8</x:v>
      </x:c>
      <x:c r="I5" s="14" t="n">
        <x:f>H5-D5*E5</x:f>
        <x:v>7</x:v>
      </x:c>
      <x:c r="J5" s="4" t="str">
        <x:v>完整继承原图许可</x:v>
      </x:c>
      <x:c r="K5" s="4" t="str">
        <x:v>固定3×3布局见下；原图不返还，不允许旋转或上下翻转。</x:v>
      </x:c>
      <x:c r="L5" s="4" t="str">
        <x:v>已实现</x:v>
      </x:c>
    </x:row>
    <x:row r="7" ht="42" customHeight="1">
      <x:c r="A7" s="12" t="str">
        <x:v>原料标签</x:v>
      </x:c>
      <x:c r="B7" s="12" t="str">
        <x:v>纸：#c:papers（项目补充定义，默认含 minecraft:paper）；蓝染：#c:dyes/blue（复用现有）。允许标签内其他模组材料及七格纸混用。</x:v>
      </x:c>
      <x:c r="C7" s="12"/>
      <x:c r="D7" s="12"/>
      <x:c r="E7" s="12"/>
      <x:c r="F7" s="12"/>
      <x:c r="G7" s="12"/>
      <x:c r="H7" s="12"/>
      <x:c r="I7" s="12"/>
      <x:c r="J7" s="12"/>
      <x:c r="K7" s="12"/>
      <x:c r="L7" s="12"/>
    </x:row>
    <x:row r="9" ht="30" customHeight="1">
      <x:c r="A9" t="str">
        <x:v>扩展布局</x:v>
      </x:c>
      <x:c r="B9" s="19" t="str">
        <x:v>纸</x:v>
      </x:c>
      <x:c r="C9" s="20" t="str">
        <x:v>蓝色染料</x:v>
      </x:c>
      <x:c r="D9" s="19" t="str">
        <x:v>纸</x:v>
      </x:c>
    </x:row>
    <x:row r="10" ht="30" customHeight="1">
      <x:c r="B10" s="19" t="str">
        <x:v>纸</x:v>
      </x:c>
      <x:c r="C10" s="20" t="str">
        <x:v>原图纸</x:v>
      </x:c>
      <x:c r="D10" s="19" t="str">
        <x:v>纸</x:v>
      </x:c>
    </x:row>
    <x:row r="11" ht="30" customHeight="1">
      <x:c r="B11" s="19" t="str">
        <x:v>纸</x:v>
      </x:c>
      <x:c r="C11" s="19" t="str">
        <x:v>纸</x:v>
      </x:c>
      <x:c r="D11" s="19" t="str">
        <x:v>纸</x:v>
      </x:c>
    </x:row>
    <x:row r="13" ht="42" customHeight="1">
      <x:c r="A13" s="12" t="str">
        <x:v>自动复制</x:v>
      </x:c>
      <x:c r="B13" s="12" t="str">
        <x:v>支持原版合成器。每轮原图被消耗，输出8张；装置从输出回送1张到中心格后可继续，净产出7张。配方不另返还原图。</x:v>
      </x:c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</x:row>
  </x:sheetData>
  <x:mergeCells>
    <x:mergeCell ref="B7:L7"/>
    <x:mergeCell ref="B13:L13"/>
  </x:mergeCells>
  <x:pageMargins left="0.7" right="0.7" top="0.75" bottom="0.75" header="0.3" footer="0.3"/>
  <x:tableParts count="1">
    <x:tablePart xmlns:r="http://schemas.openxmlformats.org/officeDocument/2006/relationships" r:id="Rdf7890b549134d08"/>
  </x:tableParts>
</x:worksheet>
</file>

<file path=xl/worksheets/sheet4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57" hidden="0" customWidth="1"/>
    <x:col min="3" max="3" width="13" hidden="0" customWidth="1"/>
    <x:col min="4" max="4" width="13" hidden="0" customWidth="1"/>
    <x:col min="5" max="5" width="13" hidden="0" customWidth="1"/>
    <x:col min="6" max="6" width="19" hidden="0" customWidth="1"/>
    <x:col min="7" max="7" width="50" hidden="0" customWidth="1"/>
    <x:col min="8" max="8" width="50" hidden="0" customWidth="1"/>
    <x:col min="9" max="9" width="14" hidden="0" customWidth="1"/>
  </x:cols>
  <x:sheetData>
    <x:row r="1" ht="34" customHeight="1">
      <x:c r="A1" s="9" t="str">
        <x:v>来源</x:v>
      </x:c>
      <x:c r="B1" s="9" t="str">
        <x:v>战利品表 ID</x:v>
      </x:c>
      <x:c r="C1" s="9" t="str">
        <x:v>0张概率</x:v>
      </x:c>
      <x:c r="D1" s="9" t="str">
        <x:v>1张概率</x:v>
      </x:c>
      <x:c r="E1" s="9" t="str">
        <x:v>2张概率</x:v>
      </x:c>
      <x:c r="F1" s="9" t="str">
        <x:v>平均数量（张）</x:v>
      </x:c>
      <x:c r="G1" s="9" t="str">
        <x:v>单张内容</x:v>
      </x:c>
      <x:c r="H1" s="9" t="str">
        <x:v>两张处理</x:v>
      </x:c>
      <x:c r="I1" s="9" t="str">
        <x:v>状态</x:v>
      </x:c>
    </x:row>
    <x:row r="2" ht="42" customHeight="1">
      <x:c r="A2" s="4" t="str">
        <x:v>沉船财宝箱</x:v>
      </x:c>
      <x:c r="B2" s="4" t="str">
        <x:v>minecraft:chests/shipwreck_treasure</x:v>
      </x:c>
      <x:c r="C2" s="23" t="n">
        <x:v>0.25</x:v>
      </x:c>
      <x:c r="D2" s="23" t="n">
        <x:v>0.5</x:v>
      </x:c>
      <x:c r="E2" s="23" t="n">
        <x:v>0.25</x:v>
      </x:c>
      <x:c r="F2" s="24" t="n">
        <x:f>D2+2*E2</x:f>
        <x:v>1</x:v>
      </x:c>
      <x:c r="G2" s="4" t="str">
        <x:v>每张独立选择家族、一个子类及其非空许可集合。</x:v>
      </x:c>
      <x:c r="H2" s="4" t="str">
        <x:v>分别生成两个数量1的物品堆，即使内容相同也不主动合并。</x:v>
      </x:c>
      <x:c r="I2" s="4" t="str">
        <x:v>已实现</x:v>
      </x:c>
    </x:row>
    <x:row r="3" ht="42" customHeight="1">
      <x:c r="A3" s="4" t="str">
        <x:v>埋藏宝藏</x:v>
      </x:c>
      <x:c r="B3" s="4" t="str">
        <x:v>minecraft:chests/buried_treasure</x:v>
      </x:c>
      <x:c r="C3" s="23" t="n">
        <x:v>0</x:v>
      </x:c>
      <x:c r="D3" s="23" t="n">
        <x:v>0.5</x:v>
      </x:c>
      <x:c r="E3" s="23" t="n">
        <x:v>0.5</x:v>
      </x:c>
      <x:c r="F3" s="24" t="n">
        <x:f>D3+2*E3</x:f>
        <x:v>1.5</x:v>
      </x:c>
      <x:c r="G3" s="4" t="str">
        <x:v>每张独立选择家族、一个子类及其非空许可集合。</x:v>
      </x:c>
      <x:c r="H3" s="4" t="str">
        <x:v>分别生成两个数量1的物品堆，即使内容相同也不主动合并。</x:v>
      </x:c>
      <x:c r="I3" s="4" t="str">
        <x:v>已实现</x:v>
      </x:c>
    </x:row>
    <x:row r="5" ht="42" customHeight="1">
      <x:c r="A5" s="12" t="str">
        <x:v>抽取实现</x:v>
      </x:c>
      <x:c r="B5" s="12" t="str">
        <x:v>沉船：两次独立50%奖励抽取；埋藏宝藏：一次必定抽取加一次50%抽取。每次命中都单独随机许可并产生数量1的物品堆。</x:v>
      </x:c>
      <x:c r="C5" s="12"/>
      <x:c r="D5" s="12"/>
      <x:c r="E5" s="12"/>
      <x:c r="F5" s="12"/>
      <x:c r="G5" s="12"/>
      <x:c r="H5" s="12"/>
      <x:c r="I5" s="12"/>
    </x:row>
    <x:row r="6" ht="42" customHeight="1">
      <x:c r="A6" s="12" t="str">
        <x:v>内容分布</x:v>
      </x:c>
      <x:c r="B6" s="12" t="str">
        <x:v>单张家族等概率，各家族三个子类等概率，许可数量1至子类总数等概率，再等概率选不重复组合。当前实现由战利品数据分层表达，数据包可调整，不属于图纸稀有度。</x:v>
      </x:c>
      <x:c r="C6" s="12"/>
      <x:c r="D6" s="12"/>
      <x:c r="E6" s="12"/>
      <x:c r="F6" s="12"/>
      <x:c r="G6" s="12"/>
      <x:c r="H6" s="12"/>
      <x:c r="I6" s="12"/>
    </x:row>
    <x:row r="7" ht="42" customHeight="1">
      <x:c r="A7" s="12" t="str">
        <x:v>未投放箱</x:v>
      </x:c>
      <x:c r="B7" s="12" t="str">
        <x:v>minecraft:chests/shipwreck_map、minecraft:chests/shipwreck_supply 不投放。藏宝图物品不直接发图纸；后续自建结构另行接入。</x:v>
      </x:c>
      <x:c r="C7" s="12"/>
      <x:c r="D7" s="12"/>
      <x:c r="E7" s="12"/>
      <x:c r="F7" s="12"/>
      <x:c r="G7" s="12"/>
      <x:c r="H7" s="12"/>
      <x:c r="I7" s="12"/>
    </x:row>
    <x:row r="8" ht="42" customHeight="1">
      <x:c r="A8" s="12" t="str">
        <x:v>自然堆叠</x:v>
      </x:c>
      <x:c r="B8" s="12" t="str">
        <x:v>生成流程不调用合并、压缩或去重。原版后续容器整理、拾取和背包仍可自然堆叠，不为拆堆添加 UUID 或改变堆叠规则。</x:v>
      </x:c>
      <x:c r="C8" s="12"/>
      <x:c r="D8" s="12"/>
      <x:c r="E8" s="12"/>
      <x:c r="F8" s="12"/>
      <x:c r="G8" s="12"/>
      <x:c r="H8" s="12"/>
      <x:c r="I8" s="12"/>
    </x:row>
  </x:sheetData>
  <x:mergeCells>
    <x:mergeCell ref="B5:I5"/>
    <x:mergeCell ref="B6:I6"/>
    <x:mergeCell ref="B7:I7"/>
    <x:mergeCell ref="B8:I8"/>
  </x:mergeCells>
  <x:pageMargins left="0.7" right="0.7" top="0.75" bottom="0.75" header="0.3" footer="0.3"/>
  <x:tableParts count="1">
    <x:tablePart xmlns:r="http://schemas.openxmlformats.org/officeDocument/2006/relationships" r:id="R1faf920eb8c24728"/>
  </x:tableParts>
</x:worksheet>
</file>

<file path=xl/worksheets/sheet5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9" hidden="0" customWidth="1"/>
    <x:col min="3" max="3" width="12" hidden="0" customWidth="1"/>
    <x:col min="4" max="4" width="17" hidden="0" customWidth="1"/>
    <x:col min="5" max="5" width="48" hidden="0" customWidth="1"/>
    <x:col min="6" max="6" width="56" hidden="0" customWidth="1"/>
    <x:col min="7" max="7" width="40" hidden="0" customWidth="1"/>
    <x:col min="8" max="8" width="14" hidden="0" customWidth="1"/>
  </x:cols>
  <x:sheetData>
    <x:row r="1" ht="34" customHeight="1">
      <x:c r="A1" s="9" t="str">
        <x:v>进度</x:v>
      </x:c>
      <x:c r="B1" s="9" t="str">
        <x:v>进度 ID（建议）</x:v>
      </x:c>
      <x:c r="C1" s="9" t="str">
        <x:v>家族</x:v>
      </x:c>
      <x:c r="D1" s="9" t="str">
        <x:v>许可目标数</x:v>
      </x:c>
      <x:c r="E1" s="9" t="str">
        <x:v>累计方式</x:v>
      </x:c>
      <x:c r="F1" s="9" t="str">
        <x:v>取得判定</x:v>
      </x:c>
      <x:c r="G1" s="9" t="str">
        <x:v>不回退条件</x:v>
      </x:c>
      <x:c r="H1" s="9" t="str">
        <x:v>状态</x:v>
      </x:c>
    </x:row>
    <x:row r="2" ht="42" customHeight="1">
      <x:c r="A2" s="4" t="str">
        <x:v>取得所有舰船类型许可</x:v>
      </x:c>
      <x:c r="B2" s="4" t="str">
        <x:v>piranport:blueprints/all_ship_types</x:v>
      </x:c>
      <x:c r="C2" s="4" t="str">
        <x:v>舰船</x:v>
      </x:c>
      <x:c r="D2" s="14" t="n">
        <x:f>COUNTIFS('许可类型'!$A$2:$A$24,C2)</x:f>
        <x:v>9</x:v>
      </x:c>
      <x:c r="E2" s="4" t="str">
        <x:v>9项许可分别累计；复合图纸同时满足其中多项。</x:v>
      </x:c>
      <x:c r="F2" s="4" t="str">
        <x:v>合法图纸实际进入玩家物品栏或副手；拾取、交易、合成及赠送均可。</x:v>
      </x:c>
      <x:c r="G2" s="4" t="str">
        <x:v>使用、赠送、丢失、死亡不撤回。</x:v>
      </x:c>
      <x:c r="H2" s="4" t="str">
        <x:v>已实现</x:v>
      </x:c>
    </x:row>
    <x:row r="3" ht="42" customHeight="1">
      <x:c r="A3" s="4" t="str">
        <x:v>取得所有装备类型许可</x:v>
      </x:c>
      <x:c r="B3" s="4" t="str">
        <x:v>piranport:blueprints/all_equipment_types</x:v>
      </x:c>
      <x:c r="C3" s="4" t="str">
        <x:v>装备</x:v>
      </x:c>
      <x:c r="D3" s="14" t="n">
        <x:f>COUNTIFS('许可类型'!$A$2:$A$24,C3)</x:f>
        <x:v>14</x:v>
      </x:c>
      <x:c r="E3" s="4" t="str">
        <x:v>14项许可分别累计；复合图纸同时满足其中多项。</x:v>
      </x:c>
      <x:c r="F3" s="4" t="str">
        <x:v>只打开箱子或自动合成器产出不计给玩家，实际取得后才累计。</x:v>
      </x:c>
      <x:c r="G3" s="4" t="str">
        <x:v>跨会话保存；不要求同时持有。</x:v>
      </x:c>
      <x:c r="H3" s="4" t="str">
        <x:v>已实现</x:v>
      </x:c>
    </x:row>
    <x:row r="5" ht="42" customHeight="1">
      <x:c r="A5" s="12" t="str">
        <x:v>制造边界</x:v>
      </x:c>
      <x:c r="B5" s="12" t="str">
        <x:v>只保存收集成果，不授予制造权限；制造仍检查设备中实际投入的图纸。不设跨家族总体进度，不新增独立个人许可存档。</x:v>
      </x:c>
      <x:c r="C5" s="12"/>
      <x:c r="D5" s="12"/>
      <x:c r="E5" s="12"/>
      <x:c r="F5" s="12"/>
      <x:c r="G5" s="12"/>
      <x:c r="H5" s="12"/>
    </x:row>
    <x:row r="6" ht="42" customHeight="1">
      <x:c r="A6" s="12" t="str">
        <x:v>检测范围</x:v>
      </x:c>
      <x:c r="B6" s="12" t="str">
        <x:v>直接物品栏和副手，不递归扫描箱子或潜影盒。按许可做包含判定，不能用整个组件相等代替。进度撤销命令可按原版管理。</x:v>
      </x:c>
      <x:c r="C6" s="12"/>
      <x:c r="D6" s="12"/>
      <x:c r="E6" s="12"/>
      <x:c r="F6" s="12"/>
      <x:c r="G6" s="12"/>
      <x:c r="H6" s="12"/>
    </x:row>
  </x:sheetData>
  <x:mergeCells>
    <x:mergeCell ref="B5:H5"/>
    <x:mergeCell ref="B6:H6"/>
  </x:mergeCells>
  <x:pageMargins left="0.7" right="0.7" top="0.75" bottom="0.75" header="0.3" footer="0.3"/>
  <x:tableParts count="1">
    <x:tablePart xmlns:r="http://schemas.openxmlformats.org/officeDocument/2006/relationships" r:id="R86089483d9624624"/>
  </x:tableParts>
</x: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showGridLines="1" workbookViewId="0">
      <pane ySplit="1" topLeftCell="A2" activePane="bottomLeft" state="frozen"/>
    </sheetView>
  </sheetViews>
  <sheetFormatPr defaultRowHeight="15"/>
  <cols>
    <col min="1" max="1" width="22.729999542236328" hidden="0" customWidth="1"/>
    <col min="2" max="2" width="31" hidden="0" customWidth="1"/>
    <col min="3" max="3" width="18" hidden="0" customWidth="1"/>
    <col min="4" max="4" width="18" hidden="0" customWidth="1"/>
    <col min="5" max="5" width="56" hidden="0" customWidth="1"/>
    <col min="6" max="6" width="57" hidden="0" customWidth="1"/>
    <col min="7" max="7" width="20" hidden="0" customWidth="1"/>
    <col min="8" max="8" width="16" hidden="0" customWidth="1"/>
  </cols>
  <sheetData>
    <row r="1" ht="34" customHeight="1">
      <c r="A1" s="9" t="str">
        <v>zh_CN</v>
      </c>
      <c r="B1" s="9" t="str">
        <v>en_US（暂定）</v>
      </c>
      <c r="C1" s="9" t="str">
        <v>class</v>
      </c>
      <c r="D1" s="9" t="str">
        <v>id</v>
      </c>
      <c r="E1" s="9" t="str">
        <v>properties</v>
      </c>
      <c r="F1" s="9" t="str">
        <v>图纸关系</v>
      </c>
      <c r="G1" s="9" t="str">
        <v>Recipes</v>
      </c>
      <c r="H1" s="9" t="str">
        <v>状态</v>
      </c>
    </row>
    <row r="2" ht="30" customHeight="1">
      <c r="A2" s="4" t="str">
        <v>船坞</v>
      </c>
      <c r="B2" s="4" t="str">
        <v>Shipyard</v>
      </c>
      <c r="C2" s="4" t="str">
        <v>SHIPYARD</v>
      </c>
      <c r="D2" s="4" t="str">
        <v>shipyard</v>
      </c>
      <c r="E2" s="4" t="str">
        <v>单工位建造全部船型，12格材料及32000 mB燃油；强化、改造标签锁定。</v>
      </c>
      <c r="F2" s="4" t="str">
        <v>开工预留1张，完工扣除；余量可取，同许可兼容堆叠可补充；不自动续建。</v>
      </c>
      <c r="G2" s="4" t="str">
        <v>4钢锭、2铝锭、2燃料桶、1工作台</v>
      </c>
      <c r="H2" s="4" t="str">
        <v>已实现</v>
      </c>
    </row>
    <row r="3" ht="30" customHeight="1">
      <c r="A3" s="4" t="str">
        <v>开发工厂</v>
      </c>
      <c r="B3" s="4" t="str">
        <v>Development Factory</v>
      </c>
      <c r="C3" s="4" t="str">
        <v>待定</v>
      </c>
      <c r="D3" s="4" t="str">
        <v>待定</v>
      </c>
      <c r="E3" s="4" t="str">
        <v>设施细节后续设计，不在图纸阶段注册占位方块。</v>
      </c>
      <c r="F3" s="4" t="str">
        <v>使用装备开发图纸；玩家选择可建造产物，每件固定消耗1张。</v>
      </c>
      <c r="G3" s="4" t="str">
        <v>待设计</v>
      </c>
      <c r="H3" s="4" t="str">
        <v>后续设计</v>
      </c>
    </row>
    <row r="4" ht="30" customHeight="1">
      <c r="A4" s="4" t="str">
        <v>弹药工厂</v>
      </c>
      <c r="B4" s="4" t="str">
        <v>Ammunition Factory</v>
      </c>
      <c r="C4" s="4" t="str">
        <v>待定</v>
      </c>
      <c r="D4" s="4" t="str">
        <v>待定</v>
      </c>
      <c r="E4" s="4" t="str">
        <v>设施细节后续设计；鱼雷、导弹为弹药，发射器为武器。</v>
      </c>
      <c r="F4" s="4" t="str">
        <v>是否使用图纸尚未规定，不自动套用发射器许可。</v>
      </c>
      <c r="G4" s="4" t="str">
        <v>待设计</v>
      </c>
      <c r="H4" s="4" t="str">
        <v>后续设计</v>
      </c>
    </row>
  </sheetData>
  <pageMargins left="0.7" right="0.7" top="0.75" bottom="0.75" header="0.3" footer="0.3"/>
  <tableParts count="1">
    <tablePart r:id="Rfbc5f06cfe414526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27" hidden="0" customWidth="1"/>
    <col min="2" max="2" width="24" hidden="0" customWidth="1"/>
    <col min="3" max="3" width="35" hidden="0" customWidth="1"/>
    <col min="4" max="4" width="12" hidden="0" customWidth="1"/>
    <col min="5" max="5" width="80" hidden="0" customWidth="1"/>
    <col min="6" max="6" width="18" hidden="0" customWidth="1"/>
  </cols>
  <sheetData>
    <row r="1" ht="32" customHeight="1">
      <c r="A1" s="33" t="str">
        <v>参数ID</v>
      </c>
      <c r="B1" s="33" t="str">
        <v>名称</v>
      </c>
      <c r="C1" s="33" t="str">
        <v>数值／规则</v>
      </c>
      <c r="D1" s="33" t="str">
        <v>单位</v>
      </c>
      <c r="E1" s="33" t="str">
        <v>说明</v>
      </c>
      <c r="F1" s="33" t="str">
        <v>状态</v>
      </c>
    </row>
    <row r="2" ht="24" customHeight="1">
      <c r="A2" s="29" t="str">
        <v>workstations</v>
      </c>
      <c r="B2" s="29" t="str">
        <v>建造工位</v>
      </c>
      <c r="C2" s="29" t="n">
        <v>1</v>
      </c>
      <c r="D2" s="29" t="str">
        <v>个</v>
      </c>
      <c r="E2" s="29" t="str">
        <v>所有船型共用任务、图纸和产物；强化、改造标签锁定</v>
      </c>
      <c r="F2" s="29" t="str">
        <v>已实现</v>
      </c>
    </row>
    <row r="3" ht="24" customHeight="1">
      <c r="A3" s="29" t="str">
        <v>material_slots</v>
      </c>
      <c r="B3" s="29" t="str">
        <v>材料缓存</v>
      </c>
      <c r="C3" s="29" t="n">
        <v>12</v>
      </c>
      <c r="D3" s="29" t="str">
        <v>格</v>
      </c>
      <c r="E3" s="29" t="str">
        <v>4列×3行，单工位统一使用</v>
      </c>
      <c r="F3" s="29" t="str">
        <v>已实现</v>
      </c>
    </row>
    <row r="4" ht="24" customHeight="1">
      <c r="A4" s="29" t="str">
        <v>fuel_capacity</v>
      </c>
      <c r="B4" s="29" t="str">
        <v>燃油容量</v>
      </c>
      <c r="C4" s="29" t="n">
        <v>32000</v>
      </c>
      <c r="D4" s="29" t="str">
        <v>mB</v>
      </c>
      <c r="E4" s="29" t="str">
        <v>仅接收本模组燃油，保留流体组件</v>
      </c>
      <c r="F4" s="29" t="str">
        <v>已实现</v>
      </c>
    </row>
    <row r="5" ht="24" customHeight="1">
      <c r="A5" s="29" t="str">
        <v>blueprint_reserved</v>
      </c>
      <c r="B5" s="29" t="str">
        <v>建造预留图纸</v>
      </c>
      <c r="C5" s="29" t="n">
        <v>1</v>
      </c>
      <c r="D5" s="29" t="str">
        <v>张</v>
      </c>
      <c r="E5" s="29" t="str">
        <v>其余可取；仅补充完整许可相同且可正常堆叠的图纸</v>
      </c>
      <c r="F5" s="29" t="str">
        <v>已实现</v>
      </c>
    </row>
    <row r="6" ht="24" customHeight="1">
      <c r="A6" s="29" t="str">
        <v>blueprint_cost</v>
      </c>
      <c r="B6" s="29" t="str">
        <v>每单图纸消耗</v>
      </c>
      <c r="C6" s="29" t="n">
        <v>1</v>
      </c>
      <c r="D6" s="29" t="str">
        <v>张</v>
      </c>
      <c r="E6" s="29" t="str">
        <v>完工扣除；取消不扣，补充不触发续建</v>
      </c>
      <c r="F6" s="29" t="str">
        <v>已实现</v>
      </c>
    </row>
    <row r="7" ht="24" customHeight="1">
      <c r="A7" s="29" t="str">
        <v>ticks_per_second</v>
      </c>
      <c r="B7" s="29" t="str">
        <v>标准计时</v>
      </c>
      <c r="C7" s="29" t="n">
        <v>20</v>
      </c>
      <c r="D7" s="29" t="str">
        <v>tick/秒</v>
      </c>
      <c r="E7" s="29" t="str">
        <v>区块正常运行时推进；卸载和停机不补时</v>
      </c>
      <c r="F7" s="29" t="str">
        <v>已实现</v>
      </c>
    </row>
    <row r="8" ht="24" customHeight="1">
      <c r="A8" s="29" t="str">
        <v>steel_guidance</v>
      </c>
      <c r="B8" s="29" t="str">
        <v>初期钢材消耗倾向</v>
      </c>
      <c r="C8" s="29" t="n">
        <v>64</v>
      </c>
      <c r="D8" s="29" t="str">
        <v>锭/单</v>
      </c>
      <c r="E8" s="29" t="str">
        <v>建议不超过64锭，不是配方校验上限；支持块锭粒混投</v>
      </c>
      <c r="F8" s="29" t="str">
        <v>设计倾向</v>
      </c>
    </row>
    <row r="9" ht="24" customHeight="1">
      <c r="A9" s="29" t="str">
        <v>aluminum_guidance</v>
      </c>
      <c r="B9" s="29" t="str">
        <v>初期铝材消耗倾向</v>
      </c>
      <c r="C9" s="29" t="n">
        <v>64</v>
      </c>
      <c r="D9" s="29" t="str">
        <v>锭/单</v>
      </c>
      <c r="E9" s="29" t="str">
        <v>建议不超过64锭，不是配方校验上限；兼容c:标签</v>
      </c>
      <c r="F9" s="29" t="str">
        <v>设计倾向</v>
      </c>
    </row>
    <row r="10" ht="24" customHeight="1">
      <c r="A10" s="29" t="str">
        <v>main_gun_ammunition</v>
      </c>
      <c r="B10" s="29" t="str">
        <v>主炮弹药</v>
      </c>
      <c r="C10" s="29" t="n">
        <v>2</v>
      </c>
      <c r="D10" s="29" t="str">
        <v>点/件</v>
      </c>
      <c r="E10" s="29" t="str">
        <v>配方弹药需求须为4的倍数；堆叠64，合成与战斗后续实现</v>
      </c>
      <c r="F10" s="29" t="str">
        <v>已实现</v>
      </c>
    </row>
    <row r="11" ht="24" customHeight="1">
      <c r="A11" s="29" t="str">
        <v>torpedo</v>
      </c>
      <c r="B11" s="29" t="str">
        <v>鱼雷</v>
      </c>
      <c r="C11" s="29" t="n">
        <v>2</v>
      </c>
      <c r="D11" s="29" t="str">
        <v>点/件</v>
      </c>
      <c r="E11" s="29" t="str">
        <v>Torpedo；堆叠64；四种弹药完全通用</v>
      </c>
      <c r="F11" s="29" t="str">
        <v>已实现</v>
      </c>
    </row>
    <row r="12" ht="24" customHeight="1">
      <c r="A12" s="29" t="str">
        <v>depth_charge</v>
      </c>
      <c r="B12" s="29" t="str">
        <v>深水炸弹</v>
      </c>
      <c r="C12" s="29" t="n">
        <v>1</v>
      </c>
      <c r="D12" s="29" t="str">
        <v>点/件</v>
      </c>
      <c r="E12" s="29" t="str">
        <v>Depth Charge；堆叠64；优先按缓存顺序扣料</v>
      </c>
      <c r="F12" s="29" t="str">
        <v>已实现</v>
      </c>
    </row>
    <row r="13" ht="24" customHeight="1">
      <c r="A13" s="29" t="str">
        <v>missile</v>
      </c>
      <c r="B13" s="29" t="str">
        <v>导弹</v>
      </c>
      <c r="C13" s="29" t="n">
        <v>4</v>
      </c>
      <c r="D13" s="29" t="str">
        <v>点/件</v>
      </c>
      <c r="E13" s="29" t="str">
        <v>Missile；堆叠64；末件向上取整，无弹药找零</v>
      </c>
      <c r="F13" s="29" t="str">
        <v>已实现</v>
      </c>
    </row>
    <row r="14" ht="24" customHeight="1">
      <c r="A14" s="29" t="str">
        <v>main_equivalent_guidance</v>
      </c>
      <c r="B14" s="29" t="str">
        <v>初期弹药件数倾向</v>
      </c>
      <c r="C14" s="29" t="n">
        <v>64</v>
      </c>
      <c r="D14" s="29" t="str">
        <v>件/单</v>
      </c>
      <c r="E14" s="29" t="str">
        <v>建议不超过64件主炮弹药（128点），不是配方校验上限</v>
      </c>
      <c r="F14" s="29" t="str">
        <v>设计倾向</v>
      </c>
    </row>
    <row r="15" ht="24" customHeight="1">
      <c r="A15" s="29" t="str">
        <v>duration_guidance</v>
      </c>
      <c r="B15" s="29" t="str">
        <v>初期建造时长倾向</v>
      </c>
      <c r="C15" s="29" t="n">
        <v>300</v>
      </c>
      <c r="D15" s="29" t="str">
        <v>秒</v>
      </c>
      <c r="E15" s="29" t="str">
        <v>建议不超过300秒，不作配方校验上限；时长须为正</v>
      </c>
      <c r="F15" s="29" t="str">
        <v>设计倾向</v>
      </c>
    </row>
    <row r="16" ht="24" customHeight="1">
      <c r="A16" s="29" t="str">
        <v>duration_target</v>
      </c>
      <c r="B16" s="29" t="str">
        <v>首批时长目标</v>
      </c>
      <c r="C16" s="29" t="n">
        <v>180</v>
      </c>
      <c r="D16" s="29" t="str">
        <v>秒</v>
      </c>
      <c r="E16" s="29" t="str">
        <v>首批45–180秒，逐舰独立配方，不作显式上限</v>
      </c>
      <c r="F16" s="29" t="str">
        <v>设计倾向</v>
      </c>
    </row>
    <row r="17" ht="24" customHeight="1">
      <c r="A17" s="29" t="str">
        <v>cancel_confirmation</v>
      </c>
      <c r="B17" s="29" t="str">
        <v>取消确认</v>
      </c>
      <c r="C17" s="30" t="b">
        <v>1</v>
      </c>
      <c r="D17" s="29" t="str">
        <v>开关</v>
      </c>
      <c r="E17" s="29" t="str">
        <v>默认返回；确认绑定唯一任务，过期确认不得取消新单</v>
      </c>
      <c r="F17" s="29" t="str">
        <v>已实现</v>
      </c>
    </row>
    <row r="18" ht="24" customHeight="1">
      <c r="A18" s="29" t="str">
        <v>auto_repeat</v>
      </c>
      <c r="B18" s="29" t="str">
        <v>自动续建</v>
      </c>
      <c r="C18" s="30" t="b">
        <v>0</v>
      </c>
      <c r="D18" s="29" t="str">
        <v>开关</v>
      </c>
      <c r="E18" s="29" t="str">
        <v>不排队、不自动补充图纸、不因红石自动开工</v>
      </c>
      <c r="F18" s="29" t="str">
        <v>已实现</v>
      </c>
    </row>
    <row r="19" ht="24" customHeight="1">
      <c r="A19" s="29" t="str">
        <v>output_pending</v>
      </c>
      <c r="B19" s="29" t="str">
        <v>产物待取时开工</v>
      </c>
      <c r="C19" s="30" t="b">
        <v>0</v>
      </c>
      <c r="D19" s="29" t="str">
        <v>开关</v>
      </c>
      <c r="E19" s="29" t="str">
        <v>建造按钮可点，仅提示先取走产物，不扣任何资源</v>
      </c>
      <c r="F19" s="29" t="str">
        <v>已实现</v>
      </c>
    </row>
    <row r="20" ht="24" customHeight="1">
      <c r="A20" s="29" t="str">
        <v>fuel_refund_overflow</v>
      </c>
      <c r="B20" s="29" t="str">
        <v>取消燃油溢出</v>
      </c>
      <c r="C20" s="29" t="str">
        <v>销毁</v>
      </c>
      <c r="D20" s="29" t="str">
        <v>规则</v>
      </c>
      <c r="E20" s="29" t="str">
        <v>尽量退回储罐，超容部分销毁；普通加油不销毁</v>
      </c>
      <c r="F20" s="29" t="str">
        <v>已实现</v>
      </c>
    </row>
    <row r="21" ht="24" customHeight="1">
      <c r="A21" s="29" t="str">
        <v>item_overflow</v>
      </c>
      <c r="B21" s="29" t="str">
        <v>找零及退款溢出</v>
      </c>
      <c r="C21" s="29" t="str">
        <v>缓存→操作者背包→掉落</v>
      </c>
      <c r="D21" s="29" t="str">
        <v>规则</v>
      </c>
      <c r="E21" s="29" t="str">
        <v>无操作者在船坞位置掉落；不因找零空间不足拒绝开工</v>
      </c>
      <c r="F21" s="29" t="str">
        <v>已实现</v>
      </c>
    </row>
    <row r="22" ht="24" customHeight="1">
      <c r="A22" s="29" t="str">
        <v>ammo_refund</v>
      </c>
      <c r="B22" s="29" t="str">
        <v>弹药退款</v>
      </c>
      <c r="C22" s="29" t="str">
        <v>原物原数</v>
      </c>
      <c r="D22" s="29" t="str">
        <v>规则</v>
      </c>
      <c r="E22" s="29" t="str">
        <v>保留开工实际扣除的种类、数量和组件</v>
      </c>
      <c r="F22" s="29" t="str">
        <v>已实现</v>
      </c>
    </row>
    <row r="23" ht="24" customHeight="1">
      <c r="A23" s="29" t="str">
        <v>break_behavior</v>
      </c>
      <c r="B23" s="29" t="str">
        <v>拆除行为</v>
      </c>
      <c r="C23" s="29" t="str">
        <v>生存保留，创造散落</v>
      </c>
      <c r="D23" s="29" t="str">
        <v>规则</v>
      </c>
      <c r="E23" s="29" t="str">
        <v>生存取消后随船坞保存；创造不掉船坞，物品散落、燃油清除</v>
      </c>
      <c r="F23" s="29" t="str">
        <v>已实现</v>
      </c>
    </row>
    <row r="24" ht="24" customHeight="1">
      <c r="A24" s="29" t="str">
        <v>gui_fuel</v>
      </c>
      <c r="B24" s="29" t="str">
        <v>GUI燃油容器</v>
      </c>
      <c r="C24" s="29" t="str">
        <v>左键注入，右键取出</v>
      </c>
      <c r="D24" s="29" t="str">
        <v>规则</v>
      </c>
      <c r="E24" s="29" t="str">
        <v>鼠标携带容器，在油罐区域交互；尽量转移最大量</v>
      </c>
      <c r="F24" s="29" t="str">
        <v>已实现</v>
      </c>
    </row>
    <row r="25" ht="24" customHeight="1">
      <c r="A25" s="29" t="str">
        <v>world_fuel</v>
      </c>
      <c r="B25" s="29" t="str">
        <v>世界右键燃油容器</v>
      </c>
      <c r="C25" s="29" t="str">
        <v>未满注入，已满取出</v>
      </c>
      <c r="D25" s="29" t="str">
        <v>规则</v>
      </c>
      <c r="E25" s="29" t="str">
        <v>以点击开始状态确定单一方向；普通桶整桶；失败打开GUI</v>
      </c>
      <c r="F25" s="29" t="str">
        <v>已实现</v>
      </c>
    </row>
    <row r="26" ht="24" customHeight="1">
      <c r="A26" s="29" t="str">
        <v>top_io</v>
      </c>
      <c r="B26" s="29" t="str">
        <v>顶部接口</v>
      </c>
      <c r="C26" s="29" t="str">
        <v>图纸输入输出</v>
      </c>
      <c r="D26" s="29" t="str">
        <v>规则</v>
      </c>
      <c r="E26" s="29" t="str">
        <v>唯一图纸槽；所有船型图纸均可准入；顶部不允许流体</v>
      </c>
      <c r="F26" s="29" t="str">
        <v>已实现</v>
      </c>
    </row>
    <row r="27" ht="24" customHeight="1">
      <c r="A27" s="29" t="str">
        <v>side_io</v>
      </c>
      <c r="B27" s="29" t="str">
        <v>四侧接口</v>
      </c>
      <c r="C27" s="29" t="str">
        <v>材料输入输出、优先产物</v>
      </c>
      <c r="D27" s="29" t="str">
        <v>规则</v>
      </c>
      <c r="E27" s="29" t="str">
        <v>先抽唯一产物槽，再抽材料；允许燃油双向</v>
      </c>
      <c r="F27" s="29" t="str">
        <v>已实现</v>
      </c>
    </row>
    <row r="28" ht="24" customHeight="1">
      <c r="A28" s="29" t="str">
        <v>bottom_io</v>
      </c>
      <c r="B28" s="29" t="str">
        <v>底部接口</v>
      </c>
      <c r="C28" s="29" t="str">
        <v>仅输出产物</v>
      </c>
      <c r="D28" s="29" t="str">
        <v>规则</v>
      </c>
      <c r="E28" s="29" t="str">
        <v>唯一产物槽；允许燃油双向</v>
      </c>
      <c r="F28" s="29" t="str">
        <v>已实现</v>
      </c>
    </row>
    <row r="29" ht="24" customHeight="1">
      <c r="A29" s="29" t="str">
        <v>browse_state</v>
      </c>
      <c r="B29" s="29" t="str">
        <v>浏览保存</v>
      </c>
      <c r="C29" s="29" t="str">
        <v>最后关闭窗口</v>
      </c>
      <c r="D29" s="29" t="str">
        <v>规则</v>
      </c>
      <c r="E29" s="29" t="str">
        <v>不绑定UUID；窗口浏览独立，保存筛选、选择和滚动</v>
      </c>
      <c r="F29" s="29" t="str">
        <v>已实现</v>
      </c>
    </row>
    <row r="30" ht="24" customHeight="1">
      <c r="A30" s="29" t="str">
        <v>query_all</v>
      </c>
      <c r="B30" s="29" t="str">
        <v>显示全部</v>
      </c>
      <c r="C30" s="29" t="str">
        <v>固定全宽勾选条</v>
      </c>
      <c r="D30" s="29" t="str">
        <v>规则</v>
      </c>
      <c r="E30" s="29" t="str">
        <v>无图纸仍可查询全部船型；不授予许可；至少4行</v>
      </c>
      <c r="F30" s="29" t="str">
        <v>已实现</v>
      </c>
    </row>
    <row r="31" ht="24" customHeight="1">
      <c r="A31" s="29" t="str">
        <v>task_status</v>
      </c>
      <c r="B31" s="29" t="str">
        <v>建造标签标记</v>
      </c>
      <c r="C31" s="29" t="str">
        <v>橙点建造、绿点待取</v>
      </c>
      <c r="D31" s="29" t="str">
        <v>规则</v>
      </c>
      <c r="E31" s="29" t="str">
        <v>空闲无点；强化、改造锁定；任务名对齐箭头，长名省略</v>
      </c>
      <c r="F31" s="29" t="str">
        <v>已实现</v>
      </c>
    </row>
    <row r="32" ht="24" customHeight="1">
      <c r="A32" s="29" t="str">
        <v>completion_sound</v>
      </c>
      <c r="B32" s="29" t="str">
        <v>完成音效</v>
      </c>
      <c r="C32" s="29" t="str">
        <v>common_craft_success</v>
      </c>
      <c r="D32" s="29" t="str">
        <v>资源</v>
      </c>
      <c r="E32" s="29" t="str">
        <v>单次完工播放，附近约16格；打开GUI和取产物不重播</v>
      </c>
      <c r="F32" s="29" t="str">
        <v>已实现</v>
      </c>
    </row>
    <row r="33" ht="24" customHeight="1">
      <c r="A33" s="29" t="str">
        <v>models</v>
      </c>
      <c r="B33" s="29" t="str">
        <v>舰娘模型</v>
      </c>
      <c r="C33" s="29" t="str">
        <v>占位符</v>
      </c>
      <c r="D33" s="29" t="str">
        <v>资源</v>
      </c>
      <c r="E33" s="29" t="str">
        <v>无图纸、无主动查询、无产物时显示当前玩家模型</v>
      </c>
      <c r="F33" s="29" t="str">
        <v>已实现</v>
      </c>
    </row>
    <row r="34" ht="24" customHeight="1">
      <c r="A34" s="29" t="str">
        <v>block_recipe</v>
      </c>
      <c r="B34" s="29" t="str">
        <v>船坞合成</v>
      </c>
      <c r="C34" s="29" t="str">
        <v>SAS/BCB/SAS</v>
      </c>
      <c r="D34" s="29" t="str">
        <v>配方</v>
      </c>
      <c r="E34" s="29" t="str">
        <v>S钢锭，A铝锭，B燃料桶，C工作台；需4钢、2铝、2燃料桶、1工作台</v>
      </c>
      <c r="F34" s="29" t="str">
        <v>已实现</v>
      </c>
    </row>
    <row r="35" ht="24" customHeight="1">
      <c r="A35" s="29" t="str">
        <v>portable_barrel</v>
      </c>
      <c r="B35" s="29" t="str">
        <v>燃料桶物品容量</v>
      </c>
      <c r="C35" s="29" t="n">
        <v>16000</v>
      </c>
      <c r="D35" s="29" t="str">
        <v>mB（默认）</v>
      </c>
      <c r="E35" s="29" t="str">
        <v>跟随fuelBarrelCapacity单格配置；物品能力支持组件、模拟和降容保留余量</v>
      </c>
      <c r="F35" s="29" t="str">
        <v>已实现</v>
      </c>
    </row>
  </sheetData>
  <pageMargins left="0.7" right="0.7" top="0.75" bottom="0.75" header="0.3" footer="0.3"/>
  <tableParts count="1">
    <tablePart r:id="Rbd419ae7a76c4976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28" hidden="0" customWidth="1"/>
    <col min="3" max="3" width="10" hidden="0" customWidth="1"/>
    <col min="4" max="4" width="10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24" hidden="0" customWidth="1"/>
  </cols>
  <sheetData>
    <row r="1" ht="32" customHeight="1">
      <c r="A1" s="33" t="str">
        <v>舰船ID</v>
      </c>
      <c r="B1" s="33" t="str">
        <v>舰名</v>
      </c>
      <c r="C1" s="33" t="str">
        <v>船型</v>
      </c>
      <c r="D1" s="33" t="str">
        <v>舰种</v>
      </c>
      <c r="E1" s="33" t="str">
        <v>燃油(mB)</v>
      </c>
      <c r="F1" s="33" t="str">
        <v>弹药点</v>
      </c>
      <c r="G1" s="33" t="str">
        <v>钢锭</v>
      </c>
      <c r="H1" s="33" t="str">
        <v>铝锭</v>
      </c>
      <c r="I1" s="33" t="str">
        <v>建造秒</v>
      </c>
      <c r="J1" s="33" t="str">
        <v>进度tick</v>
      </c>
      <c r="K1" s="33" t="str">
        <v>主炮等价件数</v>
      </c>
      <c r="L1" s="33" t="str">
        <v>建造分:秒</v>
      </c>
      <c r="M1" s="33" t="str">
        <v>状态</v>
      </c>
    </row>
    <row r="2" ht="24" customHeight="1">
      <c r="A2" s="29" t="str">
        <v>lexington_cv2</v>
      </c>
      <c r="B2" s="29" t="str">
        <v>列克星敦(CV-2)</v>
      </c>
      <c r="C2" s="29" t="str">
        <v>大型</v>
      </c>
      <c r="D2" s="29" t="str">
        <v>航母</v>
      </c>
      <c r="E2" s="36" t="n">
        <v>5000</v>
      </c>
      <c r="F2" s="36" t="n">
        <v>48</v>
      </c>
      <c r="G2" s="36" t="n">
        <v>40</v>
      </c>
      <c r="H2" s="36" t="n">
        <v>48</v>
      </c>
      <c r="I2" s="36" t="n">
        <v>150</v>
      </c>
      <c r="J2" s="36" t="n">
        <f>I2*'船坞参数'!$C$7</f>
        <v>3000</v>
      </c>
      <c r="K2" s="36" t="n">
        <f>F2/'船坞参数'!$C$10</f>
        <v>24</v>
      </c>
      <c r="L2" s="37" t="n">
        <f>I2/86400</f>
        <v>0.001736111111111111</v>
      </c>
      <c r="M2" s="29" t="str">
        <v>已实现</v>
      </c>
    </row>
    <row r="3" ht="24" customHeight="1">
      <c r="A3" s="29" t="str">
        <v>saratoga</v>
      </c>
      <c r="B3" s="29" t="str">
        <v>萨拉托加</v>
      </c>
      <c r="C3" s="29" t="str">
        <v>大型</v>
      </c>
      <c r="D3" s="29" t="str">
        <v>航母</v>
      </c>
      <c r="E3" s="36" t="n">
        <v>5000</v>
      </c>
      <c r="F3" s="36" t="n">
        <v>48</v>
      </c>
      <c r="G3" s="36" t="n">
        <v>44</v>
      </c>
      <c r="H3" s="36" t="n">
        <v>44</v>
      </c>
      <c r="I3" s="36" t="n">
        <v>140</v>
      </c>
      <c r="J3" s="36" t="n">
        <f>I3*'船坞参数'!$C$7</f>
        <v>2800</v>
      </c>
      <c r="K3" s="36" t="n">
        <f>F3/'船坞参数'!$C$10</f>
        <v>24</v>
      </c>
      <c r="L3" s="37" t="n">
        <f>I3/86400</f>
        <v>0.0016203703703703703</v>
      </c>
      <c r="M3" s="29" t="str">
        <v>已实现</v>
      </c>
    </row>
    <row r="4" ht="24" customHeight="1">
      <c r="A4" s="29" t="str">
        <v>vittorio_veneto</v>
      </c>
      <c r="B4" s="29" t="str">
        <v>维托里奥·维内托</v>
      </c>
      <c r="C4" s="29" t="str">
        <v>大型</v>
      </c>
      <c r="D4" s="29" t="str">
        <v>战列</v>
      </c>
      <c r="E4" s="36" t="n">
        <v>6000</v>
      </c>
      <c r="F4" s="36" t="n">
        <v>96</v>
      </c>
      <c r="G4" s="36" t="n">
        <v>64</v>
      </c>
      <c r="H4" s="36" t="n">
        <v>16</v>
      </c>
      <c r="I4" s="36" t="n">
        <v>180</v>
      </c>
      <c r="J4" s="36" t="n">
        <f>I4*'船坞参数'!$C$7</f>
        <v>3600</v>
      </c>
      <c r="K4" s="36" t="n">
        <f>F4/'船坞参数'!$C$10</f>
        <v>48</v>
      </c>
      <c r="L4" s="37" t="n">
        <f>I4/86400</f>
        <v>0.0020833333333333333</v>
      </c>
      <c r="M4" s="29" t="str">
        <v>已实现</v>
      </c>
    </row>
    <row r="5" ht="24" customHeight="1">
      <c r="A5" s="29" t="str">
        <v>hood</v>
      </c>
      <c r="B5" s="29" t="str">
        <v>胡德</v>
      </c>
      <c r="C5" s="29" t="str">
        <v>大型</v>
      </c>
      <c r="D5" s="29" t="str">
        <v>战巡</v>
      </c>
      <c r="E5" s="36" t="n">
        <v>5000</v>
      </c>
      <c r="F5" s="36" t="n">
        <v>80</v>
      </c>
      <c r="G5" s="36" t="n">
        <v>48</v>
      </c>
      <c r="H5" s="36" t="n">
        <v>12</v>
      </c>
      <c r="I5" s="36" t="n">
        <v>165</v>
      </c>
      <c r="J5" s="36" t="n">
        <f>I5*'船坞参数'!$C$7</f>
        <v>3300</v>
      </c>
      <c r="K5" s="36" t="n">
        <f>F5/'船坞参数'!$C$10</f>
        <v>40</v>
      </c>
      <c r="L5" s="37" t="n">
        <f>I5/86400</f>
        <v>0.0019097222222222222</v>
      </c>
      <c r="M5" s="29" t="str">
        <v>已实现</v>
      </c>
    </row>
    <row r="6" ht="24" customHeight="1">
      <c r="A6" s="29" t="str">
        <v>quincy</v>
      </c>
      <c r="B6" s="29" t="str">
        <v>昆西</v>
      </c>
      <c r="C6" s="29" t="str">
        <v>中型</v>
      </c>
      <c r="D6" s="29" t="str">
        <v>重巡</v>
      </c>
      <c r="E6" s="36" t="n">
        <v>2500</v>
      </c>
      <c r="F6" s="36" t="n">
        <v>40</v>
      </c>
      <c r="G6" s="36" t="n">
        <v>24</v>
      </c>
      <c r="H6" s="36" t="n">
        <v>8</v>
      </c>
      <c r="I6" s="36" t="n">
        <v>90</v>
      </c>
      <c r="J6" s="36" t="n">
        <f>I6*'船坞参数'!$C$7</f>
        <v>1800</v>
      </c>
      <c r="K6" s="36" t="n">
        <f>F6/'船坞参数'!$C$10</f>
        <v>20</v>
      </c>
      <c r="L6" s="37" t="n">
        <f>I6/86400</f>
        <v>0.0010416666666666667</v>
      </c>
      <c r="M6" s="29" t="str">
        <v>已实现</v>
      </c>
    </row>
    <row r="7" ht="24" customHeight="1">
      <c r="A7" s="29" t="str">
        <v>prinz_eugen</v>
      </c>
      <c r="B7" s="29" t="str">
        <v>欧根亲王</v>
      </c>
      <c r="C7" s="29" t="str">
        <v>中型</v>
      </c>
      <c r="D7" s="29" t="str">
        <v>重巡</v>
      </c>
      <c r="E7" s="36" t="n">
        <v>3000</v>
      </c>
      <c r="F7" s="36" t="n">
        <v>48</v>
      </c>
      <c r="G7" s="36" t="n">
        <v>28</v>
      </c>
      <c r="H7" s="36" t="n">
        <v>12</v>
      </c>
      <c r="I7" s="36" t="n">
        <v>105</v>
      </c>
      <c r="J7" s="36" t="n">
        <f>I7*'船坞参数'!$C$7</f>
        <v>2100</v>
      </c>
      <c r="K7" s="36" t="n">
        <f>F7/'船坞参数'!$C$10</f>
        <v>24</v>
      </c>
      <c r="L7" s="37" t="n">
        <f>I7/86400</f>
        <v>0.0012152777777777778</v>
      </c>
      <c r="M7" s="29" t="str">
        <v>已实现</v>
      </c>
    </row>
    <row r="8" ht="24" customHeight="1">
      <c r="A8" s="29" t="str">
        <v>yat_sen</v>
      </c>
      <c r="B8" s="29" t="str">
        <v>逸仙</v>
      </c>
      <c r="C8" s="29" t="str">
        <v>中型</v>
      </c>
      <c r="D8" s="29" t="str">
        <v>轻巡</v>
      </c>
      <c r="E8" s="36" t="n">
        <v>1500</v>
      </c>
      <c r="F8" s="36" t="n">
        <v>24</v>
      </c>
      <c r="G8" s="36" t="n">
        <v>16</v>
      </c>
      <c r="H8" s="36" t="n">
        <v>6</v>
      </c>
      <c r="I8" s="36" t="n">
        <v>60</v>
      </c>
      <c r="J8" s="36" t="n">
        <f>I8*'船坞参数'!$C$7</f>
        <v>1200</v>
      </c>
      <c r="K8" s="36" t="n">
        <f>F8/'船坞参数'!$C$10</f>
        <v>12</v>
      </c>
      <c r="L8" s="37" t="n">
        <f>I8/86400</f>
        <v>0.0006944444444444445</v>
      </c>
      <c r="M8" s="29" t="str">
        <v>已实现</v>
      </c>
    </row>
    <row r="9" ht="24" customHeight="1">
      <c r="A9" s="29" t="str">
        <v>glowworm</v>
      </c>
      <c r="B9" s="29" t="str">
        <v>萤火虫</v>
      </c>
      <c r="C9" s="29" t="str">
        <v>小型</v>
      </c>
      <c r="D9" s="29" t="str">
        <v>驱逐</v>
      </c>
      <c r="E9" s="36" t="n">
        <v>1000</v>
      </c>
      <c r="F9" s="36" t="n">
        <v>16</v>
      </c>
      <c r="G9" s="36" t="n">
        <v>8</v>
      </c>
      <c r="H9" s="36" t="n">
        <v>4</v>
      </c>
      <c r="I9" s="36" t="n">
        <v>45</v>
      </c>
      <c r="J9" s="36" t="n">
        <f>I9*'船坞参数'!$C$7</f>
        <v>900</v>
      </c>
      <c r="K9" s="36" t="n">
        <f>F9/'船坞参数'!$C$10</f>
        <v>8</v>
      </c>
      <c r="L9" s="37" t="n">
        <f>I9/86400</f>
        <v>0.0005208333333333333</v>
      </c>
      <c r="M9" s="29" t="str">
        <v>已实现</v>
      </c>
    </row>
    <row r="10" ht="24" customHeight="1">
      <c r="A10" s="29" t="str">
        <v>changchun</v>
      </c>
      <c r="B10" s="29" t="str">
        <v>长春</v>
      </c>
      <c r="C10" s="29" t="str">
        <v>小型</v>
      </c>
      <c r="D10" s="29" t="str">
        <v>驱逐</v>
      </c>
      <c r="E10" s="36" t="n">
        <v>2000</v>
      </c>
      <c r="F10" s="36" t="n">
        <v>48</v>
      </c>
      <c r="G10" s="36" t="n">
        <v>20</v>
      </c>
      <c r="H10" s="36" t="n">
        <v>16</v>
      </c>
      <c r="I10" s="36" t="n">
        <v>75</v>
      </c>
      <c r="J10" s="36" t="n">
        <f>I10*'船坞参数'!$C$7</f>
        <v>1500</v>
      </c>
      <c r="K10" s="36" t="n">
        <f>F10/'船坞参数'!$C$10</f>
        <v>24</v>
      </c>
      <c r="L10" s="37" t="n">
        <f>I10/86400</f>
        <v>0.0008680555555555555</v>
      </c>
      <c r="M10" s="29" t="str">
        <v>已实现</v>
      </c>
    </row>
    <row r="11" ht="24" customHeight="1">
      <c r="A11" s="29" t="str">
        <v>u47</v>
      </c>
      <c r="B11" s="29" t="str">
        <v>U-47</v>
      </c>
      <c r="C11" s="29" t="str">
        <v>小型</v>
      </c>
      <c r="D11" s="29" t="str">
        <v>潜艇</v>
      </c>
      <c r="E11" s="36" t="n">
        <v>1000</v>
      </c>
      <c r="F11" s="36" t="n">
        <v>24</v>
      </c>
      <c r="G11" s="36" t="n">
        <v>12</v>
      </c>
      <c r="H11" s="36" t="n">
        <v>6</v>
      </c>
      <c r="I11" s="36" t="n">
        <v>60</v>
      </c>
      <c r="J11" s="36" t="n">
        <f>I11*'船坞参数'!$C$7</f>
        <v>1200</v>
      </c>
      <c r="K11" s="36" t="n">
        <f>F11/'船坞参数'!$C$10</f>
        <v>12</v>
      </c>
      <c r="L11" s="37" t="n">
        <f>I11/86400</f>
        <v>0.0006944444444444445</v>
      </c>
      <c r="M11" s="29" t="str">
        <v>已实现</v>
      </c>
    </row>
    <row r="12" ht="24" customHeight="1">
      <c r="A12" s="29" t="str">
        <v>—</v>
      </c>
      <c r="B12" s="29" t="str">
        <v>轻母基准</v>
      </c>
      <c r="C12" s="29" t="str">
        <v>中型</v>
      </c>
      <c r="D12" s="29" t="str">
        <v>轻母</v>
      </c>
      <c r="E12" s="36" t="n">
        <v>3000</v>
      </c>
      <c r="F12" s="36" t="n">
        <v>32</v>
      </c>
      <c r="G12" s="36" t="n">
        <v>24</v>
      </c>
      <c r="H12" s="36" t="n">
        <v>24</v>
      </c>
      <c r="I12" s="36" t="n">
        <v>120</v>
      </c>
      <c r="J12" s="36" t="n">
        <f>I12*'船坞参数'!$C$7</f>
        <v>2400</v>
      </c>
      <c r="K12" s="36" t="n">
        <f>F12/'船坞参数'!$C$10</f>
        <v>16</v>
      </c>
      <c r="L12" s="37" t="n">
        <f>I12/86400</f>
        <v>0.001388888888888889</v>
      </c>
      <c r="M12" s="29" t="str">
        <v>基准，暂无舰船</v>
      </c>
    </row>
    <row r="13" ht="24" customHeight="1">
      <c r="A13" s="29" t="str">
        <v>—</v>
      </c>
      <c r="B13" s="29" t="str">
        <v>重炮基准</v>
      </c>
      <c r="C13" s="29" t="str">
        <v>小型</v>
      </c>
      <c r="D13" s="29" t="str">
        <v>重炮</v>
      </c>
      <c r="E13" s="36" t="n">
        <v>1500</v>
      </c>
      <c r="F13" s="36" t="n">
        <v>32</v>
      </c>
      <c r="G13" s="36" t="n">
        <v>24</v>
      </c>
      <c r="H13" s="36" t="n">
        <v>4</v>
      </c>
      <c r="I13" s="36" t="n">
        <v>75</v>
      </c>
      <c r="J13" s="36" t="n">
        <f>I13*'船坞参数'!$C$7</f>
        <v>1500</v>
      </c>
      <c r="K13" s="36" t="n">
        <f>F13/'船坞参数'!$C$10</f>
        <v>16</v>
      </c>
      <c r="L13" s="37" t="n">
        <f>I13/86400</f>
        <v>0.0008680555555555555</v>
      </c>
      <c r="M13" s="29" t="str">
        <v>基准，暂无舰船</v>
      </c>
    </row>
  </sheetData>
  <pageMargins left="0.7" right="0.7" top="0.75" bottom="0.75" header="0.3" footer="0.3"/>
  <tableParts count="1">
    <tablePart r:id="R95d0055f24274c65"/>
  </tableParts>
</worksheet>
</file>