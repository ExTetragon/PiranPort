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fed720f22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舰船参数" sheetId="1" r:id="R42faa47678c245b2"/>
    <x:sheet xmlns:r="http://schemas.openxmlformats.org/officeDocument/2006/relationships" name="船型与栏位" sheetId="2" r:id="R47358abac24b4802"/>
    <x:sheet xmlns:r="http://schemas.openxmlformats.org/officeDocument/2006/relationships" name="物品与规则" sheetId="3" r:id="Re4fa97e5c25d41a8"/>
    <x:sheet xmlns:r="http://schemas.openxmlformats.org/officeDocument/2006/relationships" name="参考资料" sheetId="4" r:id="R858fe28805b7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#,##0"/>
  </x:numFmts>
  <x:fonts count="4">
    <x:font>
      <x:sz val="11"/>
      <x:name val="Carlito"/>
    </x:font>
    <x:font>
      <x:sz val="11"/>
      <x:color rgb="FF202020"/>
      <x:name val="宋体"/>
    </x:font>
    <x:font>
      <x:sz val="11"/>
      <x:color rgb="FF404040"/>
      <x:name val="宋体"/>
    </x:font>
    <x:font>
      <x:b/>
      <x:sz val="11"/>
      <x:color rgb="FF20202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EA9C1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202" fontId="1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bb746efb84fee" /><Relationship Type="http://schemas.openxmlformats.org/officeDocument/2006/relationships/theme" Target="/xl/theme/theme1.xml" Id="R1942513914624677" /><Relationship Type="http://schemas.openxmlformats.org/officeDocument/2006/relationships/sharedStrings" Target="/xl/sharedStrings.xml" Id="R7a6170acbbc24abf" /><Relationship Type="http://schemas.openxmlformats.org/officeDocument/2006/relationships/worksheet" Target="/xl/worksheets/sheet1.xml" Id="R42faa47678c245b2" /><Relationship Type="http://schemas.openxmlformats.org/officeDocument/2006/relationships/worksheet" Target="/xl/worksheets/sheet2.xml" Id="R47358abac24b4802" /><Relationship Type="http://schemas.openxmlformats.org/officeDocument/2006/relationships/worksheet" Target="/xl/worksheets/sheet3.xml" Id="Re4fa97e5c25d41a8" /><Relationship Type="http://schemas.openxmlformats.org/officeDocument/2006/relationships/worksheet" Target="/xl/worksheets/sheet4.xml" Id="R858fe28805b74943" /></Relationships>
</file>

<file path=xl/tables/table1.xml><?xml version="1.0" encoding="utf-8"?>
<x:table xmlns:x="http://schemas.openxmlformats.org/spreadsheetml/2006/main" id="6" name="RiggingShipParameters" displayName="RiggingShipParameters" ref="A1:K11" headerRowCount="1" totalsRowCount="0" totalsRowShown="0">
  <x:autoFilter ref="A1:K11"/>
  <x:tableColumns count="11">
    <x:tableColumn id="1" name="中文舰名"/>
    <x:tableColumn id="2" name="英文舰名"/>
    <x:tableColumn id="3" name="舰种"/>
    <x:tableColumn id="4" name="船型"/>
    <x:tableColumn id="5" name="耐久加成&#10;（点）"/>
    <x:tableColumn id="6" name="装甲加成&#10;（点）"/>
    <x:tableColumn id="7" name="舰R参考&#10;航速"/>
    <x:tableColumn id="8" name="基础航速&#10;（格/秒）"/>
    <x:tableColumn id="9" name="实现状态"/>
    <x:tableColumn id="10" name="舰名 ID"/>
    <x:tableColumn id="11" name="图标贴图资源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7" name="RiggingSizeCapacity" displayName="RiggingSizeCapacity" ref="A1:J4" headerRowCount="1" totalsRowCount="0" totalsRowShown="0">
  <x:autoFilter ref="A1:J4"/>
  <x:tableColumns count="10">
    <x:tableColumn id="1" name="船型"/>
    <x:tableColumn id="2" name="ShipSize"/>
    <x:tableColumn id="3" name="船型 ID"/>
    <x:tableColumn id="4" name="武器栏&#10;（格）"/>
    <x:tableColumn id="5" name="设备栏&#10;（格）"/>
    <x:tableColumn id="6" name="弹药库&#10;（格）"/>
    <x:tableColumn id="7" name="仓库&#10;（格）"/>
    <x:tableColumn id="8" name="燃料库&#10;（mB）"/>
    <x:tableColumn id="9" name="物品槽&#10;合计"/>
    <x:tableColumn id="10" name="通用船型翻译键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8" name="RiggingSharedShipTypes" displayName="RiggingSharedShipTypes" ref="A8:F17" headerRowCount="1" totalsRowCount="0" totalsRowShown="0">
  <x:autoFilter ref="A8:F17"/>
  <x:tableColumns count="6">
    <x:tableColumn id="1" name="舰种简称"/>
    <x:tableColumn id="2" name="ShipType"/>
    <x:tableColumn id="3" name="舰种 ID / 蓝图许可 ID"/>
    <x:tableColumn id="4" name="船型"/>
    <x:tableColumn id="5" name="英文全称"/>
    <x:tableColumn id="6" name="通用舰种翻译键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RiggingItemRules" displayName="RiggingItemRules" ref="A1:D52" headerRowCount="1" totalsRowCount="0" totalsRowShown="0">
  <x:autoFilter ref="A1:D52"/>
  <x:tableColumns count="4">
    <x:tableColumn id="1" name="分类"/>
    <x:tableColumn id="2" name="项目"/>
    <x:tableColumn id="3" name="确定规则"/>
    <x:tableColumn id="4" name="实现状态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RiggingReferenceData" displayName="RiggingReferenceData" ref="A1:D11" headerRowCount="1" totalsRowCount="0" totalsRowShown="0">
  <x:autoFilter ref="A1:D11"/>
  <x:tableColumns count="4">
    <x:tableColumn id="1" name="中文舰名"/>
    <x:tableColumn id="2" name="英文舰名"/>
    <x:tableColumn id="3" name="舰R参考航速"/>
    <x:tableColumn id="4" name="参考形态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013050f5c4e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7b4f59b517411a" /><Relationship Type="http://schemas.openxmlformats.org/officeDocument/2006/relationships/table" Target="/xl/tables/table3.xml" Id="R40a73fee1d2640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890ca1a09e640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a9ffbdbf6fa4fdb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0" hidden="0" customWidth="1"/>
    <x:col min="4" max="4" width="8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4" hidden="0" customWidth="1"/>
    <x:col min="10" max="10" width="40" hidden="0" customWidth="1"/>
    <x:col min="11" max="11" width="56" hidden="0" customWidth="1"/>
  </x:cols>
  <x:sheetData>
    <x:row r="1" ht="34" customHeight="1">
      <x:c r="A1" s="17" t="str">
        <x:v>中文舰名</x:v>
      </x:c>
      <x:c r="B1" s="17" t="str">
        <x:v>英文舰名</x:v>
      </x:c>
      <x:c r="C1" s="17" t="str">
        <x:v>舰种</x:v>
      </x:c>
      <x:c r="D1" s="17" t="str">
        <x:v>船型</x:v>
      </x:c>
      <x:c r="E1" s="17" t="str">
        <x:v>耐久加成
（点）</x:v>
      </x:c>
      <x:c r="F1" s="17" t="str">
        <x:v>装甲加成
（点）</x:v>
      </x:c>
      <x:c r="G1" s="17" t="str">
        <x:v>舰R参考
航速</x:v>
      </x:c>
      <x:c r="H1" s="17" t="str">
        <x:v>基础航速
（格/秒）</x:v>
      </x:c>
      <x:c r="I1" s="17" t="str">
        <x:v>实现状态</x:v>
      </x:c>
      <x:c r="J1" s="17" t="str">
        <x:v>舰名 ID</x:v>
      </x:c>
      <x:c r="K1" s="17" t="str">
        <x:v>图标贴图资源</x:v>
      </x:c>
    </x:row>
    <x:row r="2" ht="30" customHeight="1">
      <x:c r="A2" s="4" t="str">
        <x:f>'参考资料'!A2</x:f>
        <x:v>列克星敦（CV-2）</x:v>
      </x:c>
      <x:c r="B2" s="4" t="str">
        <x:f>'参考资料'!B2</x:f>
        <x:v>Lexington (CV-2)</x:v>
      </x:c>
      <x:c r="C2" s="4" t="str">
        <x:v>航母</x:v>
      </x:c>
      <x:c r="D2" s="4" t="str">
        <x:f>INDEX('船型与栏位'!$D$9:$D$17,MATCH(C2,'船型与栏位'!$A$9:$A$17,0))</x:f>
        <x:v>大型</x:v>
      </x:c>
      <x:c r="E2" s="7" t="n">
        <x:v>32</x:v>
      </x:c>
      <x:c r="F2" s="7" t="n">
        <x:v>4</x:v>
      </x:c>
      <x:c r="G2" s="8" t="n">
        <x:f>'参考资料'!C2</x:f>
        <x:v>33.2</x:v>
      </x:c>
      <x:c r="H2" s="9" t="n">
        <x:f>ROUND(G2*$B$15+$D$15,2)</x:f>
        <x:v>7.04</x:v>
      </x:c>
      <x:c r="I2" s="4" t="str">
        <x:v>已实现</x:v>
      </x:c>
      <x:c r="J2" s="4" t="str">
        <x:v>piranport:lexington_cv2</x:v>
      </x:c>
      <x:c r="K2" s="4" t="str">
        <x:v>piranport:item/rigging_core/lexington_cv2</x:v>
      </x:c>
    </x:row>
    <x:row r="3" ht="30" customHeight="1">
      <x:c r="A3" s="4" t="str">
        <x:f>'参考资料'!A3</x:f>
        <x:v>萨拉托加</x:v>
      </x:c>
      <x:c r="B3" s="4" t="str">
        <x:f>'参考资料'!B3</x:f>
        <x:v>Saratoga</x:v>
      </x:c>
      <x:c r="C3" s="4" t="str">
        <x:v>航母</x:v>
      </x:c>
      <x:c r="D3" s="4" t="str">
        <x:f>INDEX('船型与栏位'!$D$9:$D$17,MATCH(C3,'船型与栏位'!$A$9:$A$17,0))</x:f>
        <x:v>大型</x:v>
      </x:c>
      <x:c r="E3" s="7" t="n">
        <x:v>32</x:v>
      </x:c>
      <x:c r="F3" s="7" t="n">
        <x:v>4</x:v>
      </x:c>
      <x:c r="G3" s="8" t="n">
        <x:f>'参考资料'!C3</x:f>
        <x:v>33.2</x:v>
      </x:c>
      <x:c r="H3" s="9" t="n">
        <x:f>ROUND(G3*$B$15+$D$15,2)</x:f>
        <x:v>7.04</x:v>
      </x:c>
      <x:c r="I3" s="4" t="str">
        <x:v>已实现</x:v>
      </x:c>
      <x:c r="J3" s="4" t="str">
        <x:v>piranport:saratoga</x:v>
      </x:c>
      <x:c r="K3" s="4" t="str">
        <x:v>piranport:item/rigging_core/saratoga</x:v>
      </x:c>
    </x:row>
    <x:row r="4" ht="30" customHeight="1">
      <x:c r="A4" s="4" t="str">
        <x:f>'参考资料'!A4</x:f>
        <x:v>维托里奥·维内托</x:v>
      </x:c>
      <x:c r="B4" s="4" t="str">
        <x:f>'参考资料'!B4</x:f>
        <x:v>Vittorio Veneto</x:v>
      </x:c>
      <x:c r="C4" s="4" t="str">
        <x:v>战列</x:v>
      </x:c>
      <x:c r="D4" s="4" t="str">
        <x:f>INDEX('船型与栏位'!$D$9:$D$17,MATCH(C4,'船型与栏位'!$A$9:$A$17,0))</x:f>
        <x:v>大型</x:v>
      </x:c>
      <x:c r="E4" s="7" t="n">
        <x:v>38</x:v>
      </x:c>
      <x:c r="F4" s="7" t="n">
        <x:v>8</x:v>
      </x:c>
      <x:c r="G4" s="8" t="n">
        <x:f>'参考资料'!C4</x:f>
        <x:v>31</x:v>
      </x:c>
      <x:c r="H4" s="9" t="n">
        <x:f>ROUND(G4*$B$15+$D$15,2)</x:f>
        <x:v>6.6</x:v>
      </x:c>
      <x:c r="I4" s="4" t="str">
        <x:v>已实现</x:v>
      </x:c>
      <x:c r="J4" s="4" t="str">
        <x:v>piranport:vittorio_veneto</x:v>
      </x:c>
      <x:c r="K4" s="4" t="str">
        <x:v>piranport:item/rigging_core/vittorio_veneto</x:v>
      </x:c>
    </x:row>
    <x:row r="5" ht="30" customHeight="1">
      <x:c r="A5" s="4" t="str">
        <x:f>'参考资料'!A5</x:f>
        <x:v>胡德</x:v>
      </x:c>
      <x:c r="B5" s="4" t="str">
        <x:f>'参考资料'!B5</x:f>
        <x:v>Hood</x:v>
      </x:c>
      <x:c r="C5" s="4" t="str">
        <x:v>战巡</x:v>
      </x:c>
      <x:c r="D5" s="4" t="str">
        <x:f>INDEX('船型与栏位'!$D$9:$D$17,MATCH(C5,'船型与栏位'!$A$9:$A$17,0))</x:f>
        <x:v>大型</x:v>
      </x:c>
      <x:c r="E5" s="7" t="n">
        <x:v>38</x:v>
      </x:c>
      <x:c r="F5" s="7" t="n">
        <x:v>6</x:v>
      </x:c>
      <x:c r="G5" s="8" t="n">
        <x:f>'参考资料'!C5</x:f>
        <x:v>31</x:v>
      </x:c>
      <x:c r="H5" s="9" t="n">
        <x:f>ROUND(G5*$B$15+$D$15,2)</x:f>
        <x:v>6.6</x:v>
      </x:c>
      <x:c r="I5" s="4" t="str">
        <x:v>已实现</x:v>
      </x:c>
      <x:c r="J5" s="4" t="str">
        <x:v>piranport:hood</x:v>
      </x:c>
      <x:c r="K5" s="4" t="str">
        <x:v>piranport:item/rigging_core/hood</x:v>
      </x:c>
    </x:row>
    <x:row r="6" ht="30" customHeight="1">
      <x:c r="A6" s="4" t="str">
        <x:f>'参考资料'!A6</x:f>
        <x:v>昆西</x:v>
      </x:c>
      <x:c r="B6" s="4" t="str">
        <x:f>'参考资料'!B6</x:f>
        <x:v>Quincy</x:v>
      </x:c>
      <x:c r="C6" s="4" t="str">
        <x:v>重巡</x:v>
      </x:c>
      <x:c r="D6" s="4" t="str">
        <x:f>INDEX('船型与栏位'!$D$9:$D$17,MATCH(C6,'船型与栏位'!$A$9:$A$17,0))</x:f>
        <x:v>中型</x:v>
      </x:c>
      <x:c r="E6" s="7" t="n">
        <x:v>22</x:v>
      </x:c>
      <x:c r="F6" s="7" t="n">
        <x:v>4</x:v>
      </x:c>
      <x:c r="G6" s="8" t="n">
        <x:f>'参考资料'!C6</x:f>
        <x:v>32.7</x:v>
      </x:c>
      <x:c r="H6" s="9" t="n">
        <x:f>ROUND(G6*$B$15+$D$15,2)</x:f>
        <x:v>6.94</x:v>
      </x:c>
      <x:c r="I6" s="4" t="str">
        <x:v>已实现</x:v>
      </x:c>
      <x:c r="J6" s="4" t="str">
        <x:v>piranport:quincy</x:v>
      </x:c>
      <x:c r="K6" s="4" t="str">
        <x:v>piranport:item/rigging_core/quincy</x:v>
      </x:c>
    </x:row>
    <x:row r="7" ht="30" customHeight="1">
      <x:c r="A7" s="4" t="str">
        <x:f>'参考资料'!A7</x:f>
        <x:v>欧根亲王</x:v>
      </x:c>
      <x:c r="B7" s="4" t="str">
        <x:f>'参考资料'!B7</x:f>
        <x:v>Prinz Eugen</x:v>
      </x:c>
      <x:c r="C7" s="4" t="str">
        <x:v>重巡</x:v>
      </x:c>
      <x:c r="D7" s="4" t="str">
        <x:f>INDEX('船型与栏位'!$D$9:$D$17,MATCH(C7,'船型与栏位'!$A$9:$A$17,0))</x:f>
        <x:v>中型</x:v>
      </x:c>
      <x:c r="E7" s="7" t="n">
        <x:v>28</x:v>
      </x:c>
      <x:c r="F7" s="7" t="n">
        <x:v>5</x:v>
      </x:c>
      <x:c r="G7" s="8" t="n">
        <x:f>'参考资料'!C7</x:f>
        <x:v>32</x:v>
      </x:c>
      <x:c r="H7" s="9" t="n">
        <x:f>ROUND(G7*$B$15+$D$15,2)</x:f>
        <x:v>6.8</x:v>
      </x:c>
      <x:c r="I7" s="4" t="str">
        <x:v>已实现</x:v>
      </x:c>
      <x:c r="J7" s="4" t="str">
        <x:v>piranport:prinz_eugen</x:v>
      </x:c>
      <x:c r="K7" s="4" t="str">
        <x:v>piranport:item/rigging_core/prinz_eugen</x:v>
      </x:c>
    </x:row>
    <x:row r="8" ht="30" customHeight="1">
      <x:c r="A8" s="4" t="str">
        <x:f>'参考资料'!A8</x:f>
        <x:v>逸仙</x:v>
      </x:c>
      <x:c r="B8" s="4" t="str">
        <x:f>'参考资料'!B8</x:f>
        <x:v>Yat Sen</x:v>
      </x:c>
      <x:c r="C8" s="4" t="str">
        <x:v>轻巡</x:v>
      </x:c>
      <x:c r="D8" s="4" t="str">
        <x:f>INDEX('船型与栏位'!$D$9:$D$17,MATCH(C8,'船型与栏位'!$A$9:$A$17,0))</x:f>
        <x:v>中型</x:v>
      </x:c>
      <x:c r="E8" s="7" t="n">
        <x:v>10</x:v>
      </x:c>
      <x:c r="F8" s="7" t="n">
        <x:v>2</x:v>
      </x:c>
      <x:c r="G8" s="8" t="n">
        <x:f>'参考资料'!C8</x:f>
        <x:v>20</x:v>
      </x:c>
      <x:c r="H8" s="9" t="n">
        <x:f>ROUND(G8*$B$15+$D$15,2)</x:f>
        <x:v>4.4</x:v>
      </x:c>
      <x:c r="I8" s="4" t="str">
        <x:v>已实现</x:v>
      </x:c>
      <x:c r="J8" s="4" t="str">
        <x:v>piranport:yat_sen</x:v>
      </x:c>
      <x:c r="K8" s="4" t="str">
        <x:v>piranport:item/rigging_core/yat_sen</x:v>
      </x:c>
    </x:row>
    <x:row r="9" ht="30" customHeight="1">
      <x:c r="A9" s="4" t="str">
        <x:f>'参考资料'!A9</x:f>
        <x:v>萤火虫</x:v>
      </x:c>
      <x:c r="B9" s="4" t="str">
        <x:f>'参考资料'!B9</x:f>
        <x:v>Glowworm</x:v>
      </x:c>
      <x:c r="C9" s="4" t="str">
        <x:v>驱逐</x:v>
      </x:c>
      <x:c r="D9" s="4" t="str">
        <x:f>INDEX('船型与栏位'!$D$9:$D$17,MATCH(C9,'船型与栏位'!$A$9:$A$17,0))</x:f>
        <x:v>小型</x:v>
      </x:c>
      <x:c r="E9" s="7" t="n">
        <x:v>10</x:v>
      </x:c>
      <x:c r="F9" s="7" t="n">
        <x:v>1</x:v>
      </x:c>
      <x:c r="G9" s="8" t="n">
        <x:f>'参考资料'!C9</x:f>
        <x:v>36</x:v>
      </x:c>
      <x:c r="H9" s="9" t="n">
        <x:f>ROUND(G9*$B$15+$D$15,2)</x:f>
        <x:v>7.6</x:v>
      </x:c>
      <x:c r="I9" s="4" t="str">
        <x:v>已实现</x:v>
      </x:c>
      <x:c r="J9" s="4" t="str">
        <x:v>piranport:glowworm</x:v>
      </x:c>
      <x:c r="K9" s="4" t="str">
        <x:v>piranport:item/rigging_core/glowworm</x:v>
      </x:c>
    </x:row>
    <x:row r="10" ht="30" customHeight="1">
      <x:c r="A10" s="4" t="str">
        <x:f>'参考资料'!A10</x:f>
        <x:v>长春</x:v>
      </x:c>
      <x:c r="B10" s="4" t="str">
        <x:f>'参考资料'!B10</x:f>
        <x:v>Changchun</x:v>
      </x:c>
      <x:c r="C10" s="4" t="str">
        <x:v>驱逐</x:v>
      </x:c>
      <x:c r="D10" s="4" t="str">
        <x:f>INDEX('船型与栏位'!$D$9:$D$17,MATCH(C10,'船型与栏位'!$A$9:$A$17,0))</x:f>
        <x:v>小型</x:v>
      </x:c>
      <x:c r="E10" s="7" t="n">
        <x:v>16</x:v>
      </x:c>
      <x:c r="F10" s="7" t="n">
        <x:v>2</x:v>
      </x:c>
      <x:c r="G10" s="8" t="n">
        <x:f>'参考资料'!C10</x:f>
        <x:v>39</x:v>
      </x:c>
      <x:c r="H10" s="9" t="n">
        <x:f>ROUND(G10*$B$15+$D$15,2)</x:f>
        <x:v>8.2</x:v>
      </x:c>
      <x:c r="I10" s="4" t="str">
        <x:v>已实现</x:v>
      </x:c>
      <x:c r="J10" s="4" t="str">
        <x:v>piranport:changchun</x:v>
      </x:c>
      <x:c r="K10" s="4" t="str">
        <x:v>piranport:item/rigging_core/changchun</x:v>
      </x:c>
    </x:row>
    <x:row r="11" ht="30" customHeight="1">
      <x:c r="A11" s="4" t="str">
        <x:f>'参考资料'!A11</x:f>
        <x:v>U-47</x:v>
      </x:c>
      <x:c r="B11" s="4" t="str">
        <x:f>'参考资料'!B11</x:f>
        <x:v>U-47</x:v>
      </x:c>
      <x:c r="C11" s="4" t="str">
        <x:v>潜艇</x:v>
      </x:c>
      <x:c r="D11" s="4" t="str">
        <x:f>INDEX('船型与栏位'!$D$9:$D$17,MATCH(C11,'船型与栏位'!$A$9:$A$17,0))</x:f>
        <x:v>小型</x:v>
      </x:c>
      <x:c r="E11" s="7" t="n">
        <x:v>10</x:v>
      </x:c>
      <x:c r="F11" s="7" t="n">
        <x:v>1</x:v>
      </x:c>
      <x:c r="G11" s="8" t="n">
        <x:f>'参考资料'!C11</x:f>
        <x:v>18</x:v>
      </x:c>
      <x:c r="H11" s="9" t="n">
        <x:f>ROUND(G11*$B$15+$D$15,2)</x:f>
        <x:v>4</x:v>
      </x:c>
      <x:c r="I11" s="4" t="str">
        <x:v>已实现</x:v>
      </x:c>
      <x:c r="J11" s="4" t="str">
        <x:v>piranport:u47</x:v>
      </x:c>
      <x:c r="K11" s="4" t="str">
        <x:v>piranport:item/rigging_core/u47</x:v>
      </x:c>
    </x:row>
    <x:row r="12" ht="15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42" customHeight="1">
      <x:c r="A13" s="5" t="str">
        <x:v>舰装核心舰船参数</x:v>
      </x:c>
      <x:c r="B13" s="5" t="str">
        <x:v>代码 0.1.61，核心物品层已实现，参数仍为首轮调试基线。基础参数可编辑，航速和船型由公式计算。</x:v>
      </x:c>
      <x:c r="C13" s="5"/>
      <x:c r="D13" s="5"/>
      <x:c r="E13" s="5"/>
      <x:c r="F13" s="5"/>
      <x:c r="G13" s="5"/>
      <x:c r="H13" s="5"/>
      <x:c r="I13" s="5"/>
      <x:c r="J13" s="5"/>
      <x:c r="K13" s="5"/>
    </x:row>
    <x:row r="14" ht="15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30" customHeight="1">
      <x:c r="A15" s="4" t="str">
        <x:v>航速缩放系数</x:v>
      </x:c>
      <x:c r="B15" s="8" t="n">
        <x:v>0.2</x:v>
      </x:c>
      <x:c r="C15" s="4" t="str">
        <x:v>航速加值</x:v>
      </x:c>
      <x:c r="D15" s="8" t="n">
        <x:v>0.4</x:v>
      </x:c>
      <x:c r="E15" s="4" t="str">
        <x:v>名称颜色</x:v>
      </x:c>
      <x:c r="F15" s="4" t="str">
        <x:v>#6699FF</x:v>
      </x:c>
      <x:c r="G15" s="4" t="str">
        <x:v>实现状态</x:v>
      </x:c>
      <x:c r="H15" s="4" t="str">
        <x:v>已实现</x:v>
      </x:c>
      <x:c r="I15" s="4" t="str">
        <x:v>熟练度初值</x:v>
      </x:c>
      <x:c r="J15" s="7" t="n">
        <x:v>0</x:v>
      </x:c>
      <x:c r="K15" s="4"/>
    </x:row>
    <x:row r="16" ht="30" customHeight="1">
      <x:c r="A16" s="4" t="str">
        <x:v>首批舰船数</x:v>
      </x:c>
      <x:c r="B16" s="7" t="n">
        <x:f>COUNTA(A2:A11)</x:f>
        <x:v>10</x:v>
      </x:c>
      <x:c r="C16" s="4" t="str">
        <x:v>最低航速</x:v>
      </x:c>
      <x:c r="D16" s="9" t="n">
        <x:f>MIN(H2:H11)</x:f>
        <x:v>4</x:v>
      </x:c>
      <x:c r="E16" s="4" t="str">
        <x:v>最高航速</x:v>
      </x:c>
      <x:c r="F16" s="9" t="n">
        <x:f>MAX(H2:H11)</x:f>
        <x:v>8.2</x:v>
      </x:c>
      <x:c r="G16" s="4" t="str">
        <x:v>航速单位</x:v>
      </x:c>
      <x:c r="H16" s="4" t="str">
        <x:v>格/秒</x:v>
      </x:c>
      <x:c r="I16" s="4" t="str">
        <x:v>熟练度上限</x:v>
      </x:c>
      <x:c r="J16" s="7" t="n">
        <x:v>200</x:v>
      </x:c>
      <x:c r="K16" s="4"/>
    </x:row>
  </x:sheetData>
  <x:mergeCells>
    <x:mergeCell ref="B13:K13"/>
  </x:mergeCells>
  <x:dataValidations count="2">
    <x:dataValidation type="list" sqref="C2:C11">
      <x:formula1>"战列,战巡,航母,重巡,轻母,轻巡,重炮,驱逐,潜艇"</x:formula1>
    </x:dataValidation>
    <x:dataValidation type="list" sqref="I2:I11">
      <x:formula1>"待开发,开发中,待验收,已实现"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1013050f5c4e25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6" hidden="0" customWidth="1"/>
    <x:col min="4" max="4" width="13" hidden="0" customWidth="1"/>
    <x:col min="5" max="5" width="26" hidden="0" customWidth="1"/>
    <x:col min="6" max="6" width="47" hidden="0" customWidth="1"/>
    <x:col min="7" max="7" width="15" hidden="0" customWidth="1"/>
    <x:col min="8" max="8" width="19" hidden="0" customWidth="1"/>
    <x:col min="9" max="9" width="16" hidden="0" customWidth="1"/>
    <x:col min="10" max="10" width="36" hidden="0" customWidth="1"/>
  </x:cols>
  <x:sheetData>
    <x:row r="1" ht="34" customHeight="1">
      <x:c r="A1" s="17" t="str">
        <x:v>船型</x:v>
      </x:c>
      <x:c r="B1" s="17" t="str">
        <x:v>ShipSize</x:v>
      </x:c>
      <x:c r="C1" s="17" t="str">
        <x:v>船型 ID</x:v>
      </x:c>
      <x:c r="D1" s="17" t="str">
        <x:v>武器栏
（格）</x:v>
      </x:c>
      <x:c r="E1" s="17" t="str">
        <x:v>设备栏
（格）</x:v>
      </x:c>
      <x:c r="F1" s="17" t="str">
        <x:v>弹药库
（格）</x:v>
      </x:c>
      <x:c r="G1" s="17" t="str">
        <x:v>仓库
（格）</x:v>
      </x:c>
      <x:c r="H1" s="17" t="str">
        <x:v>燃料库
（mB）</x:v>
      </x:c>
      <x:c r="I1" s="17" t="str">
        <x:v>物品槽
合计</x:v>
      </x:c>
      <x:c r="J1" s="17" t="str">
        <x:v>通用船型翻译键</x:v>
      </x:c>
    </x:row>
    <x:row r="2" ht="30" customHeight="1">
      <x:c r="A2" s="4" t="str">
        <x:v>大型</x:v>
      </x:c>
      <x:c r="B2" s="4" t="str">
        <x:v>LARGE</x:v>
      </x:c>
      <x:c r="C2" s="4" t="str">
        <x:v>piranport:ship/large</x:v>
      </x:c>
      <x:c r="D2" s="18" t="n">
        <x:v>6</x:v>
      </x:c>
      <x:c r="E2" s="18" t="n">
        <x:v>4</x:v>
      </x:c>
      <x:c r="F2" s="18" t="n">
        <x:v>9</x:v>
      </x:c>
      <x:c r="G2" s="18" t="n">
        <x:v>45</x:v>
      </x:c>
      <x:c r="H2" s="18" t="n">
        <x:v>128000</x:v>
      </x:c>
      <x:c r="I2" s="18" t="n">
        <x:f>SUM(D2:G2)</x:f>
        <x:v>64</x:v>
      </x:c>
      <x:c r="J2" s="4" t="str">
        <x:v>ship_size.piranport.large</x:v>
      </x:c>
    </x:row>
    <x:row r="3" ht="30" customHeight="1">
      <x:c r="A3" s="4" t="str">
        <x:v>中型</x:v>
      </x:c>
      <x:c r="B3" s="4" t="str">
        <x:v>MEDIUM</x:v>
      </x:c>
      <x:c r="C3" s="4" t="str">
        <x:v>piranport:ship/medium</x:v>
      </x:c>
      <x:c r="D3" s="18" t="n">
        <x:v>5</x:v>
      </x:c>
      <x:c r="E3" s="18" t="n">
        <x:v>3</x:v>
      </x:c>
      <x:c r="F3" s="18" t="n">
        <x:v>8</x:v>
      </x:c>
      <x:c r="G3" s="18" t="n">
        <x:v>36</x:v>
      </x:c>
      <x:c r="H3" s="18" t="n">
        <x:v>96000</x:v>
      </x:c>
      <x:c r="I3" s="18" t="n">
        <x:f>SUM(D3:G3)</x:f>
        <x:v>52</x:v>
      </x:c>
      <x:c r="J3" s="4" t="str">
        <x:v>ship_size.piranport.medium</x:v>
      </x:c>
    </x:row>
    <x:row r="4" ht="30" customHeight="1">
      <x:c r="A4" s="4" t="str">
        <x:v>小型</x:v>
      </x:c>
      <x:c r="B4" s="4" t="str">
        <x:v>SMALL</x:v>
      </x:c>
      <x:c r="C4" s="4" t="str">
        <x:v>piranport:ship/small</x:v>
      </x:c>
      <x:c r="D4" s="18" t="n">
        <x:v>4</x:v>
      </x:c>
      <x:c r="E4" s="18" t="n">
        <x:v>2</x:v>
      </x:c>
      <x:c r="F4" s="18" t="n">
        <x:v>6</x:v>
      </x:c>
      <x:c r="G4" s="18" t="n">
        <x:v>27</x:v>
      </x:c>
      <x:c r="H4" s="18" t="n">
        <x:v>64000</x:v>
      </x:c>
      <x:c r="I4" s="18" t="n">
        <x:f>SUM(D4:G4)</x:f>
        <x:v>39</x:v>
      </x:c>
      <x:c r="J4" s="4" t="str">
        <x:v>ship_size.piranport.small</x:v>
      </x:c>
    </x:row>
    <x:row r="5" ht="1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1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30" customHeight="1">
      <x:c r="A7" s="4" t="str">
        <x:v>通用舰种目录</x:v>
      </x:c>
      <x:c r="B7" s="4"/>
      <x:c r="C7" s="4"/>
      <x:c r="D7" s="4"/>
      <x:c r="E7" s="4"/>
      <x:c r="F7" s="4"/>
      <x:c r="G7" s="4"/>
      <x:c r="H7" s="4"/>
      <x:c r="I7" s="4"/>
      <x:c r="J7" s="4"/>
    </x:row>
    <x:row r="8" ht="34" customHeight="1">
      <x:c r="A8" s="17" t="str">
        <x:v>舰种简称</x:v>
      </x:c>
      <x:c r="B8" s="17" t="str">
        <x:v>ShipType</x:v>
      </x:c>
      <x:c r="C8" s="17" t="str">
        <x:v>舰种 ID / 蓝图许可 ID</x:v>
      </x:c>
      <x:c r="D8" s="17" t="str">
        <x:v>船型</x:v>
      </x:c>
      <x:c r="E8" s="17" t="str">
        <x:v>英文全称</x:v>
      </x:c>
      <x:c r="F8" s="17" t="str">
        <x:v>通用舰种翻译键</x:v>
      </x:c>
      <x:c r="G8" s="4"/>
      <x:c r="H8" s="4"/>
      <x:c r="I8" s="4"/>
      <x:c r="J8" s="4"/>
    </x:row>
    <x:row r="9" ht="30" customHeight="1">
      <x:c r="A9" s="4" t="str">
        <x:v>战列</x:v>
      </x:c>
      <x:c r="B9" s="4" t="str">
        <x:v>BATTLESHIP</x:v>
      </x:c>
      <x:c r="C9" s="4" t="str">
        <x:v>piranport:ship/battleship</x:v>
      </x:c>
      <x:c r="D9" s="4" t="str">
        <x:v>大型</x:v>
      </x:c>
      <x:c r="E9" s="4" t="str">
        <x:v>Battleship</x:v>
      </x:c>
      <x:c r="F9" s="4" t="str">
        <x:v>ship_type.piranport.battleship</x:v>
      </x:c>
      <x:c r="G9" s="4"/>
      <x:c r="H9" s="4"/>
      <x:c r="I9" s="4"/>
      <x:c r="J9" s="4"/>
    </x:row>
    <x:row r="10" ht="30" customHeight="1">
      <x:c r="A10" s="4" t="str">
        <x:v>战巡</x:v>
      </x:c>
      <x:c r="B10" s="4" t="str">
        <x:v>BATTLECRUISER</x:v>
      </x:c>
      <x:c r="C10" s="4" t="str">
        <x:v>piranport:ship/battlecruiser</x:v>
      </x:c>
      <x:c r="D10" s="4" t="str">
        <x:v>大型</x:v>
      </x:c>
      <x:c r="E10" s="4" t="str">
        <x:v>Battlecruiser</x:v>
      </x:c>
      <x:c r="F10" s="4" t="str">
        <x:v>ship_type.piranport.battlecruiser</x:v>
      </x:c>
      <x:c r="G10" s="4"/>
      <x:c r="H10" s="4"/>
      <x:c r="I10" s="4"/>
      <x:c r="J10" s="4"/>
    </x:row>
    <x:row r="11" ht="30" customHeight="1">
      <x:c r="A11" s="4" t="str">
        <x:v>航母</x:v>
      </x:c>
      <x:c r="B11" s="4" t="str">
        <x:v>AIRCRAFT_CARRIER</x:v>
      </x:c>
      <x:c r="C11" s="4" t="str">
        <x:v>piranport:ship/aircraft_carrier</x:v>
      </x:c>
      <x:c r="D11" s="4" t="str">
        <x:v>大型</x:v>
      </x:c>
      <x:c r="E11" s="4" t="str">
        <x:v>Aircraft Carrier</x:v>
      </x:c>
      <x:c r="F11" s="4" t="str">
        <x:v>ship_type.piranport.aircraft_carrier</x:v>
      </x:c>
      <x:c r="G11" s="4"/>
      <x:c r="H11" s="4"/>
      <x:c r="I11" s="4"/>
      <x:c r="J11" s="4"/>
    </x:row>
    <x:row r="12" ht="30" customHeight="1">
      <x:c r="A12" s="4" t="str">
        <x:v>重巡</x:v>
      </x:c>
      <x:c r="B12" s="4" t="str">
        <x:v>HEAVY_CRUISER</x:v>
      </x:c>
      <x:c r="C12" s="4" t="str">
        <x:v>piranport:ship/heavy_cruiser</x:v>
      </x:c>
      <x:c r="D12" s="4" t="str">
        <x:v>中型</x:v>
      </x:c>
      <x:c r="E12" s="4" t="str">
        <x:v>Heavy Cruiser</x:v>
      </x:c>
      <x:c r="F12" s="4" t="str">
        <x:v>ship_type.piranport.heavy_cruiser</x:v>
      </x:c>
      <x:c r="G12" s="4"/>
      <x:c r="H12" s="4"/>
      <x:c r="I12" s="4"/>
      <x:c r="J12" s="4"/>
    </x:row>
    <x:row r="13" ht="30" customHeight="1">
      <x:c r="A13" s="4" t="str">
        <x:v>轻母</x:v>
      </x:c>
      <x:c r="B13" s="4" t="str">
        <x:v>LIGHT_AIRCRAFT_CARRIER</x:v>
      </x:c>
      <x:c r="C13" s="4" t="str">
        <x:v>piranport:ship/light_aircraft_carrier</x:v>
      </x:c>
      <x:c r="D13" s="4" t="str">
        <x:v>中型</x:v>
      </x:c>
      <x:c r="E13" s="4" t="str">
        <x:v>Light Aircraft Carrier</x:v>
      </x:c>
      <x:c r="F13" s="4" t="str">
        <x:v>ship_type.piranport.light_aircraft_carrier</x:v>
      </x:c>
      <x:c r="G13" s="4"/>
      <x:c r="H13" s="4"/>
      <x:c r="I13" s="4"/>
      <x:c r="J13" s="4"/>
    </x:row>
    <x:row r="14" ht="30" customHeight="1">
      <x:c r="A14" s="4" t="str">
        <x:v>轻巡</x:v>
      </x:c>
      <x:c r="B14" s="4" t="str">
        <x:v>LIGHT_CRUISER</x:v>
      </x:c>
      <x:c r="C14" s="4" t="str">
        <x:v>piranport:ship/light_cruiser</x:v>
      </x:c>
      <x:c r="D14" s="4" t="str">
        <x:v>中型</x:v>
      </x:c>
      <x:c r="E14" s="4" t="str">
        <x:v>Light Cruiser</x:v>
      </x:c>
      <x:c r="F14" s="4" t="str">
        <x:v>ship_type.piranport.light_cruiser</x:v>
      </x:c>
      <x:c r="G14" s="4"/>
      <x:c r="H14" s="4"/>
      <x:c r="I14" s="4"/>
      <x:c r="J14" s="4"/>
    </x:row>
    <x:row r="15" ht="30" customHeight="1">
      <x:c r="A15" s="4" t="str">
        <x:v>重炮</x:v>
      </x:c>
      <x:c r="B15" s="4" t="str">
        <x:v>MONITOR</x:v>
      </x:c>
      <x:c r="C15" s="4" t="str">
        <x:v>piranport:ship/monitor</x:v>
      </x:c>
      <x:c r="D15" s="4" t="str">
        <x:v>小型</x:v>
      </x:c>
      <x:c r="E15" s="4" t="str">
        <x:v>Monitor</x:v>
      </x:c>
      <x:c r="F15" s="4" t="str">
        <x:v>ship_type.piranport.monitor</x:v>
      </x:c>
      <x:c r="G15" s="4"/>
      <x:c r="H15" s="4"/>
      <x:c r="I15" s="4"/>
      <x:c r="J15" s="4"/>
    </x:row>
    <x:row r="16" ht="30" customHeight="1">
      <x:c r="A16" s="4" t="str">
        <x:v>驱逐</x:v>
      </x:c>
      <x:c r="B16" s="4" t="str">
        <x:v>DESTROYER</x:v>
      </x:c>
      <x:c r="C16" s="4" t="str">
        <x:v>piranport:ship/destroyer</x:v>
      </x:c>
      <x:c r="D16" s="4" t="str">
        <x:v>小型</x:v>
      </x:c>
      <x:c r="E16" s="4" t="str">
        <x:v>Destroyer</x:v>
      </x:c>
      <x:c r="F16" s="4" t="str">
        <x:v>ship_type.piranport.destroyer</x:v>
      </x:c>
      <x:c r="G16" s="4"/>
      <x:c r="H16" s="4"/>
      <x:c r="I16" s="4"/>
      <x:c r="J16" s="4"/>
    </x:row>
    <x:row r="17" ht="30" customHeight="1">
      <x:c r="A17" s="4" t="str">
        <x:v>潜艇</x:v>
      </x:c>
      <x:c r="B17" s="4" t="str">
        <x:v>SUBMARINE</x:v>
      </x:c>
      <x:c r="C17" s="4" t="str">
        <x:v>piranport:ship/submarine</x:v>
      </x:c>
      <x:c r="D17" s="4" t="str">
        <x:v>小型</x:v>
      </x:c>
      <x:c r="E17" s="4" t="str">
        <x:v>Submarine</x:v>
      </x:c>
      <x:c r="F17" s="4" t="str">
        <x:v>ship_type.piranport.submarine</x:v>
      </x:c>
      <x:c r="G17" s="4"/>
      <x:c r="H17" s="4"/>
      <x:c r="I17" s="4"/>
      <x:c r="J17" s="4"/>
    </x:row>
    <x:row r="18" ht="1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42" customHeight="1">
      <x:c r="A19" s="5" t="str">
        <x:v>船型容量与通用舰种</x:v>
      </x:c>
      <x:c r="B19" s="5" t="str">
        <x:v>共用 ShipType、ShipSize 已实现；蓝图许可和子类 ID 保持不变。</x:v>
      </x:c>
      <x:c r="C19" s="5"/>
      <x:c r="D19" s="5"/>
      <x:c r="E19" s="5"/>
      <x:c r="F19" s="5"/>
      <x:c r="G19" s="5"/>
      <x:c r="H19" s="5"/>
      <x:c r="I19" s="5"/>
      <x:c r="J19" s="5"/>
    </x:row>
  </x:sheetData>
  <x:mergeCells>
    <x:mergeCell ref="B19:J19"/>
  </x:mergeCells>
  <x:pageMargins left="0.7" right="0.7" top="0.75" bottom="0.75" header="0.3" footer="0.3"/>
  <x:tableParts count="2">
    <x:tablePart xmlns:r="http://schemas.openxmlformats.org/officeDocument/2006/relationships" r:id="R527b4f59b517411a"/>
    <x:tablePart xmlns:r="http://schemas.openxmlformats.org/officeDocument/2006/relationships" r:id="R40a73fee1d264055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00" hidden="0" customWidth="1"/>
    <x:col min="4" max="4" width="14" hidden="0" customWidth="1"/>
  </x:cols>
  <x:sheetData>
    <x:row r="1" ht="34" customHeight="1">
      <x:c r="A1" s="17" t="str">
        <x:v>分类</x:v>
      </x:c>
      <x:c r="B1" s="17" t="str">
        <x:v>项目</x:v>
      </x:c>
      <x:c r="C1" s="17" t="str">
        <x:v>确定规则</x:v>
      </x:c>
      <x:c r="D1" s="17" t="str">
        <x:v>实现状态</x:v>
      </x:c>
    </x:row>
    <x:row r="2" ht="36" customHeight="1">
      <x:c r="A2" s="4" t="str">
        <x:v>范围</x:v>
      </x:c>
      <x:c r="B2" s="4" t="str">
        <x:v>物品层交付</x:v>
      </x:c>
      <x:c r="C2" s="4" t="str">
        <x:v>身份、十艘舰船定义与独立图标、熟练度基础数据及接口、分类存储、燃油、最终属性、名称说明、掉落防护与创造栏。</x:v>
      </x:c>
      <x:c r="D2" s="4" t="str">
        <x:v>已实现</x:v>
      </x:c>
    </x:row>
    <x:row r="3" ht="36" customHeight="1">
      <x:c r="A3" s="4" t="str">
        <x:v>范围</x:v>
      </x:c>
      <x:c r="B3" s="4" t="str">
        <x:v>后续系统</x:v>
      </x:c>
      <x:c r="C3" s="4" t="str">
        <x:v>舰娘状态、舰装栏与 GUI、HUD、移动、武器运行、燃油自动消耗和船坞后续实现；熟练度增长方案与收益暂缓。</x:v>
      </x:c>
      <x:c r="D3" s="4" t="str">
        <x:v>待开发</x:v>
      </x:c>
    </x:row>
    <x:row r="4" ht="36" customHeight="1">
      <x:c r="A4" s="4" t="str">
        <x:v>注册</x:v>
      </x:c>
      <x:c r="B4" s="4" t="str">
        <x:v>物品</x:v>
      </x:c>
      <x:c r="C4" s="4" t="str">
        <x:v>只注册 piranport:rigging_core，英文 Rigging Core，最大堆叠 1；所有舰船共用物品 ID，按身份选择不同子模型。</x:v>
      </x:c>
      <x:c r="D4" s="4" t="str">
        <x:v>已实现</x:v>
      </x:c>
    </x:row>
    <x:row r="5" ht="30" customHeight="1">
      <x:c r="A5" s="4" t="str">
        <x:v>注册</x:v>
      </x:c>
      <x:c r="B5" s="4" t="str">
        <x:v>物品耐久</x:v>
      </x:c>
      <x:c r="C5" s="4" t="str">
        <x:v>核心不设置损耗耐久；面板“耐久”表示核心及装配提供的额外血量。</x:v>
      </x:c>
      <x:c r="D5" s="4" t="str">
        <x:v>已实现</x:v>
      </x:c>
    </x:row>
    <x:row r="6" ht="30" customHeight="1">
      <x:c r="A6" s="4" t="str">
        <x:v>身份</x:v>
      </x:c>
      <x:c r="B6" s="4" t="str">
        <x:v>保存内容</x:v>
      </x:c>
      <x:c r="C6" s="4" t="str">
        <x:v>rigging_identity 只保存舰名 ID 与舰种 ID，船型从通用 ShipType 推导。</x:v>
      </x:c>
      <x:c r="D6" s="4" t="str">
        <x:v>已实现</x:v>
      </x:c>
    </x:row>
    <x:row r="7" ht="30" customHeight="1">
      <x:c r="A7" s="4" t="str">
        <x:v>身份</x:v>
      </x:c>
      <x:c r="B7" s="4" t="str">
        <x:v>创建与校验</x:v>
      </x:c>
      <x:c r="C7" s="4" t="str">
        <x:v>按舰名定义创建，核对舰名 ID 与舰种一致；正常操作不可改变身份。</x:v>
      </x:c>
      <x:c r="D7" s="4" t="str">
        <x:v>已实现</x:v>
      </x:c>
    </x:row>
    <x:row r="8" ht="30" customHeight="1">
      <x:c r="A8" s="4" t="str">
        <x:v>身份</x:v>
      </x:c>
      <x:c r="B8" s="4" t="str">
        <x:v>无效身份</x:v>
      </x:c>
      <x:c r="C8" s="4" t="str">
        <x:v>空白、未知或不匹配的身份保留原数据，拒绝新增内容与燃油，允许受限恢复取出和抽取。</x:v>
      </x:c>
      <x:c r="D8" s="4" t="str">
        <x:v>已实现</x:v>
      </x:c>
    </x:row>
    <x:row r="9" ht="30" customHeight="1">
      <x:c r="A9" s="4" t="str">
        <x:v>身份</x:v>
      </x:c>
      <x:c r="B9" s="4" t="str">
        <x:v>玩家关系</x:v>
      </x:c>
      <x:c r="C9" s="4" t="str">
        <x:v>不绑定玩家，不增加所有者或用于阻止复制的随机 UUID。</x:v>
      </x:c>
      <x:c r="D9" s="4" t="str">
        <x:v>已实现</x:v>
      </x:c>
    </x:row>
    <x:row r="10" ht="30" customHeight="1">
      <x:c r="A10" s="4" t="str">
        <x:v>分类</x:v>
      </x:c>
      <x:c r="B10" s="4" t="str">
        <x:v>通用枚举</x:v>
      </x:c>
      <x:c r="C10" s="4" t="str">
        <x:v>提取 ShipType、ShipSize，蓝图引用共用定义；已有舰种、船型和许可 ID 保持不变。</x:v>
      </x:c>
      <x:c r="D10" s="4" t="str">
        <x:v>已实现</x:v>
      </x:c>
    </x:row>
    <x:row r="11" ht="30" customHeight="1">
      <x:c r="A11" s="4" t="str">
        <x:v>分类</x:v>
      </x:c>
      <x:c r="B11" s="4" t="str">
        <x:v>通用翻译</x:v>
      </x:c>
      <x:c r="C11" s="4" t="str">
        <x:v>使用 ship_type.piranport.&lt;path&gt; 和 ship_size.piranport.&lt;path&gt;；图纸动态名称保留专用翻译键。</x:v>
      </x:c>
      <x:c r="D11" s="4" t="str">
        <x:v>已实现</x:v>
      </x:c>
    </x:row>
    <x:row r="12" ht="30" customHeight="1">
      <x:c r="A12" s="4" t="str">
        <x:v>属性</x:v>
      </x:c>
      <x:c r="B12" s="4" t="str">
        <x:v>定义与调整</x:v>
      </x:c>
      <x:c r="C12" s="4" t="str">
        <x:v>基础属性绑定舰名，不保存制造时快照；定义数值调整同步影响已有核心。</x:v>
      </x:c>
      <x:c r="D12" s="4" t="str">
        <x:v>已实现</x:v>
      </x:c>
    </x:row>
    <x:row r="13" ht="30" customHeight="1">
      <x:c r="A13" s="4" t="str">
        <x:v>属性</x:v>
      </x:c>
      <x:c r="B13" s="4" t="str">
        <x:v>加减汇总</x:v>
      </x:c>
      <x:c r="C13" s="4" t="str">
        <x:v>最终属性＝舰名基础值＋所有已装配武器与设备的属性修正之和；飞机按武器栏计算，负值参与。</x:v>
      </x:c>
      <x:c r="D13" s="4" t="str">
        <x:v>已实现</x:v>
      </x:c>
    </x:row>
    <x:row r="14" ht="30" customHeight="1">
      <x:c r="A14" s="4" t="str">
        <x:v>属性</x:v>
      </x:c>
      <x:c r="B14" s="4" t="str">
        <x:v>存货与兼容物品</x:v>
      </x:c>
      <x:c r="C14" s="4" t="str">
        <x:v>弹药库和仓库存货不参与汇总；只有标签而无舰装属性定义的物品不贡献这三项属性。</x:v>
      </x:c>
      <x:c r="D14" s="4" t="str">
        <x:v>已实现</x:v>
      </x:c>
    </x:row>
    <x:row r="15" ht="30" customHeight="1">
      <x:c r="A15" s="4" t="str">
        <x:v>属性</x:v>
      </x:c>
      <x:c r="B15" s="4" t="str">
        <x:v>航速基线</x:v>
      </x:c>
      <x:c r="C15" s="4" t="str">
        <x:v>基础航速＝舰R参考航速×0.2＋0.4，单位格/秒；最低基础值 4.00，不额外设置装备修正后的硬下限。</x:v>
      </x:c>
      <x:c r="D15" s="4" t="str">
        <x:v>已实现</x:v>
      </x:c>
    </x:row>
    <x:row r="16" ht="30" customHeight="1">
      <x:c r="A16" s="4" t="str">
        <x:v>存储</x:v>
      </x:c>
      <x:c r="B16" s="4" t="str">
        <x:v>分区组件</x:v>
      </x:c>
      <x:c r="C16" s="4" t="str">
        <x:v>武器、设备、弹药、仓库分别保存 ItemContainerContents，不把拼接槽位偏移作为存档结构。</x:v>
      </x:c>
      <x:c r="D16" s="4" t="str">
        <x:v>已实现</x:v>
      </x:c>
    </x:row>
    <x:row r="17" ht="30" customHeight="1">
      <x:c r="A17" s="4" t="str">
        <x:v>存储</x:v>
      </x:c>
      <x:c r="B17" s="4" t="str">
        <x:v>武器栏</x:v>
      </x:c>
      <x:c r="C17" s="4" t="str">
        <x:v>接收 piranport:weapons 或 piranport:aircraft 标签物品，单格 1 件。</x:v>
      </x:c>
      <x:c r="D17" s="4" t="str">
        <x:v>已实现</x:v>
      </x:c>
    </x:row>
    <x:row r="18" ht="30" customHeight="1">
      <x:c r="A18" s="4" t="str">
        <x:v>存储</x:v>
      </x:c>
      <x:c r="B18" s="4" t="str">
        <x:v>设备栏</x:v>
      </x:c>
      <x:c r="C18" s="4" t="str">
        <x:v>接收 piranport:devices 标签物品，单格 1 件。</x:v>
      </x:c>
      <x:c r="D18" s="4" t="str">
        <x:v>已实现</x:v>
      </x:c>
    </x:row>
    <x:row r="19" ht="30" customHeight="1">
      <x:c r="A19" s="4" t="str">
        <x:v>存储</x:v>
      </x:c>
      <x:c r="B19" s="4" t="str">
        <x:v>弹药库</x:v>
      </x:c>
      <x:c r="C19" s="4" t="str">
        <x:v>接收 piranport:ammunition 标签物品，遵循物品自身堆叠上限。</x:v>
      </x:c>
      <x:c r="D19" s="4" t="str">
        <x:v>已实现</x:v>
      </x:c>
    </x:row>
    <x:row r="20" ht="30" customHeight="1">
      <x:c r="A20" s="4" t="str">
        <x:v>存储</x:v>
      </x:c>
      <x:c r="B20" s="4" t="str">
        <x:v>仓库</x:v>
      </x:c>
      <x:c r="C20" s="4" t="str">
        <x:v>接收普通物品，允许潜影盒与收纳袋；拒绝核心及受支持容器中直接或间接包含核心的物品。</x:v>
      </x:c>
      <x:c r="D20" s="4" t="str">
        <x:v>已实现</x:v>
      </x:c>
    </x:row>
    <x:row r="21" ht="30" customHeight="1">
      <x:c r="A21" s="4" t="str">
        <x:v>存储</x:v>
      </x:c>
      <x:c r="B21" s="4" t="str">
        <x:v>装备适配</x:v>
      </x:c>
      <x:c r="C21" s="4" t="str">
        <x:v>不按舰名、舰种或船型硬拒绝装备，适配与超重属于后续舰娘状态规则。</x:v>
      </x:c>
      <x:c r="D21" s="4" t="str">
        <x:v>已实现</x:v>
      </x:c>
    </x:row>
    <x:row r="22" ht="30" customHeight="1">
      <x:c r="A22" s="4" t="str">
        <x:v>存储</x:v>
      </x:c>
      <x:c r="B22" s="4" t="str">
        <x:v>统一校验</x:v>
      </x:c>
      <x:c r="C22" s="4" t="str">
        <x:v>所有正常写入入口共用类别、数量和嵌套规则，直接设置也校验；清空与恢复取出可执行。</x:v>
      </x:c>
      <x:c r="D22" s="4" t="str">
        <x:v>已实现</x:v>
      </x:c>
    </x:row>
    <x:row r="23" ht="30" customHeight="1">
      <x:c r="A23" s="4" t="str">
        <x:v>存储</x:v>
      </x:c>
      <x:c r="B23" s="4" t="str">
        <x:v>模拟与副本</x:v>
      </x:c>
      <x:c r="C23" s="4" t="str">
        <x:v>SIMULATE 和查询无副作用；读取返回副本，核心复制后内容修改独立。</x:v>
      </x:c>
      <x:c r="D23" s="4" t="str">
        <x:v>已实现</x:v>
      </x:c>
    </x:row>
    <x:row r="24" ht="30" customHeight="1">
      <x:c r="A24" s="4" t="str">
        <x:v>存储</x:v>
      </x:c>
      <x:c r="B24" s="4" t="str">
        <x:v>规则变化</x:v>
      </x:c>
      <x:c r="C24" s="4" t="str">
        <x:v>标签或容量调整不删除、截断旧内容；停止不合法新增并允许恢复取出。</x:v>
      </x:c>
      <x:c r="D24" s="4" t="str">
        <x:v>已实现</x:v>
      </x:c>
    </x:row>
    <x:row r="25" ht="30" customHeight="1">
      <x:c r="A25" s="4" t="str">
        <x:v>容器</x:v>
      </x:c>
      <x:c r="B25" s="4" t="str">
        <x:v>嵌套检查</x:v>
      </x:c>
      <x:c r="C25" s="4" t="str">
        <x:v>首版识别原版潜影盒与收纳袋内容；第三方容器按公开接口适配，在插入时检查，不逐 tick 扫背包。</x:v>
      </x:c>
      <x:c r="D25" s="4" t="str">
        <x:v>已实现</x:v>
      </x:c>
    </x:row>
    <x:row r="26" ht="30" customHeight="1">
      <x:c r="A26" s="4" t="str">
        <x:v>容器</x:v>
      </x:c>
      <x:c r="B26" s="4" t="str">
        <x:v>外层收纳</x:v>
      </x:c>
      <x:c r="C26" s="4" t="str">
        <x:v>核心可放入潜影盒、收纳袋；不控制外层容器后续行为，允许含核心的外层容器消失。</x:v>
      </x:c>
      <x:c r="D26" s="4" t="str">
        <x:v>已实现</x:v>
      </x:c>
    </x:row>
    <x:row r="27" ht="30" customHeight="1">
      <x:c r="A27" s="4" t="str">
        <x:v>燃油</x:v>
      </x:c>
      <x:c r="B27" s="4" t="str">
        <x:v>过滤与容量</x:v>
      </x:c>
      <x:c r="C27" s="4" t="str">
        <x:v>只接收本模组燃油，拒绝原油及其他流体；容量按船型，与燃料桶配置独立。</x:v>
      </x:c>
      <x:c r="D27" s="4" t="str">
        <x:v>已实现</x:v>
      </x:c>
    </x:row>
    <x:row r="28" ht="30" customHeight="1">
      <x:c r="A28" s="4" t="str">
        <x:v>燃油</x:v>
      </x:c>
      <x:c r="B28" s="4" t="str">
        <x:v>组件与守恒</x:v>
      </x:c>
      <x:c r="C28" s="4" t="str">
        <x:v>复用 SimpleFluidContent，比较流体种类和组件；支持部分流量、模拟、抽空和超额保留。</x:v>
      </x:c>
      <x:c r="D28" s="4" t="str">
        <x:v>已实现</x:v>
      </x:c>
    </x:row>
    <x:row r="29" ht="30" customHeight="1">
      <x:c r="A29" s="4" t="str">
        <x:v>燃油</x:v>
      </x:c>
      <x:c r="B29" s="4" t="str">
        <x:v>现有交互</x:v>
      </x:c>
      <x:c r="C29" s="4" t="str">
        <x:v>注册物品流体能力，通过现有燃料桶 FluidUtil 路径转移；不自动耗油。</x:v>
      </x:c>
      <x:c r="D29" s="4" t="str">
        <x:v>已实现</x:v>
      </x:c>
    </x:row>
    <x:row r="30" ht="30" customHeight="1">
      <x:c r="A30" s="4" t="str">
        <x:v>显示</x:v>
      </x:c>
      <x:c r="B30" s="4" t="str">
        <x:v>标题</x:v>
      </x:c>
      <x:c r="C30" s="4" t="str">
        <x:v>默认标题为舰名，固定 Logo 蓝色 #6699FF；铁砧改名后标题仍为同色，真实身份不变。</x:v>
      </x:c>
      <x:c r="D30" s="4" t="str">
        <x:v>已实现</x:v>
      </x:c>
    </x:row>
    <x:row r="31" ht="30" customHeight="1">
      <x:c r="A31" s="4" t="str">
        <x:v>显示</x:v>
      </x:c>
      <x:c r="B31" s="4" t="str">
        <x:v>简洁说明</x:v>
      </x:c>
      <x:c r="C31" s="4" t="str">
        <x:v>未按 Shift 时，只追加灰色“舰装核心”，英文 Rigging Core；不额外提示按键。</x:v>
      </x:c>
      <x:c r="D31" s="4" t="str">
        <x:v>已实现</x:v>
      </x:c>
    </x:row>
    <x:row r="32" ht="30" customHeight="1">
      <x:c r="A32" s="4" t="str">
        <x:v>显示</x:v>
      </x:c>
      <x:c r="B32" s="4" t="str">
        <x:v>Shift 详情</x:v>
      </x:c>
      <x:c r="C32" s="4" t="str">
        <x:v>隐去灰色通称，显示真实舰名、船型、舰种、熟练度、最终耐久/装甲/航速、燃油量、四区占用格数。</x:v>
      </x:c>
      <x:c r="D32" s="4" t="str">
        <x:v>已实现</x:v>
      </x:c>
    </x:row>
    <x:row r="33" ht="30" customHeight="1">
      <x:c r="A33" s="4" t="str">
        <x:v>显示</x:v>
      </x:c>
      <x:c r="B33" s="4" t="str">
        <x:v>占用与精度</x:v>
      </x:c>
      <x:c r="C33" s="4" t="str">
        <x:v>占用按非空槽位计数；装满的潜影盒占一格。航速显示两位小数，汇总前不舍入装备值。</x:v>
      </x:c>
      <x:c r="D33" s="4" t="str">
        <x:v>已实现</x:v>
      </x:c>
    </x:row>
    <x:row r="34" ht="30" customHeight="1">
      <x:c r="A34" s="4" t="str">
        <x:v>显示</x:v>
      </x:c>
      <x:c r="B34" s="4" t="str">
        <x:v>身份异常</x:v>
      </x:c>
      <x:c r="C34" s="4" t="str">
        <x:v>无身份显示未初始化舰装核心，定义缺失显示未知舰船；Shift 提供诊断，不伪造正常属性。</x:v>
      </x:c>
      <x:c r="D34" s="4" t="str">
        <x:v>已实现</x:v>
      </x:c>
    </x:row>
    <x:row r="35" ht="30" customHeight="1">
      <x:c r="A35" s="4" t="str">
        <x:v>保护</x:v>
      </x:c>
      <x:c r="B35" s="4" t="str">
        <x:v>环境伤害</x:v>
      </x:c>
      <x:c r="C35" s="4" t="str">
        <x:v>核心掉落物免疫火焰、岩浆、爆炸、仙人掌等环境伤害，防护不检查身份。</x:v>
      </x:c>
      <x:c r="D35" s="4" t="str">
        <x:v>已实现</x:v>
      </x:c>
    </x:row>
    <x:row r="36" ht="30" customHeight="1">
      <x:c r="A36" s="4" t="str">
        <x:v>保护</x:v>
      </x:c>
      <x:c r="B36" s="4" t="str">
        <x:v>无限存续</x:v>
      </x:c>
      <x:c r="C36" s="4" t="str">
        <x:v>不自然超时消失，保存、重载、重启和跨维度后保持；普通拾取、收集与运动正常。</x:v>
      </x:c>
      <x:c r="D36" s="4" t="str">
        <x:v>已实现</x:v>
      </x:c>
    </x:row>
    <x:row r="37" ht="30" customHeight="1">
      <x:c r="A37" s="4" t="str">
        <x:v>保护</x:v>
      </x:c>
      <x:c r="B37" s="4" t="str">
        <x:v>允许消失</x:v>
      </x:c>
      <x:c r="C37" s="4" t="str">
        <x:v>允许虚空移除、管理员删除，以及外层潜影盒或收纳袋自身的销毁和消失。</x:v>
      </x:c>
      <x:c r="D37" s="4" t="str">
        <x:v>已实现</x:v>
      </x:c>
    </x:row>
    <x:row r="38" ht="30" customHeight="1">
      <x:c r="A38" s="4" t="str">
        <x:v>保护</x:v>
      </x:c>
      <x:c r="B38" s="4" t="str">
        <x:v>内容归属</x:v>
      </x:c>
      <x:c r="C38" s="4" t="str">
        <x:v>内容随核心组件保存，核心正常掉落时内部物品不另行散落，不生成第二份内容。</x:v>
      </x:c>
      <x:c r="D38" s="4" t="str">
        <x:v>已实现</x:v>
      </x:c>
    </x:row>
    <x:row r="39" ht="30" customHeight="1">
      <x:c r="A39" s="4" t="str">
        <x:v>获取</x:v>
      </x:c>
      <x:c r="B39" s="4" t="str">
        <x:v>工厂与创造栏</x:v>
      </x:c>
      <x:c r="C39" s="4" t="str">
        <x:v>统一按舰名 ID 创建熟练度 0、空内容的有效核心，创造栏提供十个示例；无身份 /give 不随机初始化。</x:v>
      </x:c>
      <x:c r="D39" s="4" t="str">
        <x:v>已实现</x:v>
      </x:c>
    </x:row>
    <x:row r="40" ht="30" customHeight="1">
      <x:c r="A40" s="4" t="str">
        <x:v>获取</x:v>
      </x:c>
      <x:c r="B40" s="4" t="str">
        <x:v>奖励与制造</x:v>
      </x:c>
      <x:c r="C40" s="4" t="str">
        <x:v>末地城奖励箱暂缓，深海 Boss 奖励与船坞后续接入；不添加替代工作台配方。</x:v>
      </x:c>
      <x:c r="D40" s="4" t="str">
        <x:v>待开发</x:v>
      </x:c>
    </x:row>
    <x:row r="41" ht="36" customHeight="1">
      <x:c r="A41" s="4" t="str">
        <x:v>美术</x:v>
      </x:c>
      <x:c r="B41" s="4" t="str">
        <x:v>占位模型</x:v>
      </x:c>
      <x:c r="C41" s="4" t="str">
        <x:v>一个根模型、十个舰船子模型和独立 16×16 透明 PNG；统一核心底形，每舰使用不同徽记与配色，parent 为 minecraft:item/generated。</x:v>
      </x:c>
      <x:c r="D41" s="4" t="str">
        <x:v>已实现</x:v>
      </x:c>
    </x:row>
    <x:row r="42" ht="30" customHeight="1">
      <x:c r="A42" s="4" t="str">
        <x:v>美术</x:v>
      </x:c>
      <x:c r="B42" s="4" t="str">
        <x:v>创造栏图标</x:v>
      </x:c>
      <x:c r="C42" s="4" t="str">
        <x:v>使用带列克星敦（CV-2）身份的有效核心及其独立图标，随物品实现替换当前铁锭图标。</x:v>
      </x:c>
      <x:c r="D42" s="4" t="str">
        <x:v>已实现</x:v>
      </x:c>
    </x:row>
    <x:row r="43" ht="51" customHeight="1">
      <x:c r="A43" s="4" t="str">
        <x:v>验证</x:v>
      </x:c>
      <x:c r="B43" s="4" t="str">
        <x:v>验收状态</x:v>
      </x:c>
      <x:c r="C43" s="4" t="str">
        <x:v>RC01–RC24 验证范围见方案；103 项 GameTest、双语模型和资源检查通过。世界内铁砧、环境与外观、完整重启及跨维度仍待人工验收。</x:v>
      </x:c>
      <x:c r="D43" s="4" t="str">
        <x:v>待验收</x:v>
      </x:c>
    </x:row>
    <x:row r="44" ht="36" customHeight="1">
      <x:c r="A44" s="4" t="str">
        <x:v>美术</x:v>
      </x:c>
      <x:c r="B44" s="4" t="str">
        <x:v>按舰名选择</x:v>
      </x:c>
      <x:c r="C44" s="4" t="str">
        <x:v>客户端自定义物品模型属性配合 overrides 按舰名 ID 选图，同舰种的不同舰船也区分；物品不重复保存模型编号或贴图路径。</x:v>
      </x:c>
      <x:c r="D44" s="4" t="str">
        <x:v>已实现</x:v>
      </x:c>
    </x:row>
    <x:row r="45" ht="30" customHeight="1">
      <x:c r="A45" s="4" t="str">
        <x:v>美术</x:v>
      </x:c>
      <x:c r="B45" s="4" t="str">
        <x:v>图标稳定性</x:v>
      </x:c>
      <x:c r="C45" s="4" t="str">
        <x:v>背包、手持、掉落物、展示框和创造栏使用同一身份规则；铁砧改名、熟练度与装配变化不改变图标。</x:v>
      </x:c>
      <x:c r="D45" s="4" t="str">
        <x:v>已实现</x:v>
      </x:c>
    </x:row>
    <x:row r="46" ht="36" customHeight="1">
      <x:c r="A46" s="4" t="str">
        <x:v>美术</x:v>
      </x:c>
      <x:c r="B46" s="4" t="str">
        <x:v>异常回退</x:v>
      </x:c>
      <x:c r="C46" s="4" t="str">
        <x:v>无身份、未知舰名或身份不一致时使用通用图标，暂复用 minecraft:item/heart_of_the_sea；原始身份、熟练度和内容保留。</x:v>
      </x:c>
      <x:c r="D46" s="4" t="str">
        <x:v>已实现</x:v>
      </x:c>
    </x:row>
    <x:row r="47" ht="30" customHeight="1">
      <x:c r="A47" s="4" t="str">
        <x:v>熟练度</x:v>
      </x:c>
      <x:c r="B47" s="4" t="str">
        <x:v>初值与上限</x:v>
      </x:c>
      <x:c r="C47" s="4" t="str">
        <x:v>Proficiency 为整数，初始 0、最低 0、最高 200；工厂和创造栏示例均从 0 开始。</x:v>
      </x:c>
      <x:c r="D47" s="4" t="str">
        <x:v>已实现</x:v>
      </x:c>
    </x:row>
    <x:row r="48" ht="36" customHeight="1">
      <x:c r="A48" s="4" t="str">
        <x:v>熟练度</x:v>
      </x:c>
      <x:c r="B48" s="4" t="str">
        <x:v>独立组件</x:v>
      </x:c>
      <x:c r="C48" s="4" t="str">
        <x:v>piranport:rigging_proficiency 保存不可变 RiggingProficiency，归每枚核心所有，同名核心独立，转赠随物品保留。</x:v>
      </x:c>
      <x:c r="D48" s="4" t="str">
        <x:v>已实现</x:v>
      </x:c>
    </x:row>
    <x:row r="49" ht="30" customHeight="1">
      <x:c r="A49" s="4" t="str">
        <x:v>熟练度</x:v>
      </x:c>
      <x:c r="B49" s="4" t="str">
        <x:v>保存与读取</x:v>
      </x:c>
      <x:c r="C49" s="4" t="str">
        <x:v>缺组件读取 0 且不补写；持久化、网络、复制、改名、转移及重载保留，副本修改独立，身份异常不清零。</x:v>
      </x:c>
      <x:c r="D49" s="4" t="str">
        <x:v>已实现</x:v>
      </x:c>
    </x:row>
    <x:row r="50" ht="36" customHeight="1">
      <x:c r="A50" s="4" t="str">
        <x:v>熟练度</x:v>
      </x:c>
      <x:c r="B50" s="4" t="str">
        <x:v>预留读写接口</x:v>
      </x:c>
      <x:c r="C50" s="4" t="str">
        <x:v>getProficiency 纯读取；setProficiency 只接受 0–200；addProficiency 接受非负增量、饱和至 200 并返回实际增量，防溢出，保留其他组件。</x:v>
      </x:c>
      <x:c r="D50" s="4" t="str">
        <x:v>已实现</x:v>
      </x:c>
    </x:row>
    <x:row r="51" ht="36" customHeight="1">
      <x:c r="A51" s="4" t="str">
        <x:v>熟练度</x:v>
      </x:c>
      <x:c r="B51" s="4" t="str">
        <x:v>Shift 显示</x:v>
      </x:c>
      <x:c r="C51" s="4" t="str">
        <x:v>Shift 在舰种后显示“熟练度：当前值 / 200”，英文 Proficiency；非 Shift 仍只有灰色通称，不显示待定增长进度或收益。</x:v>
      </x:c>
      <x:c r="D51" s="4" t="str">
        <x:v>已实现</x:v>
      </x:c>
    </x:row>
    <x:row r="52" ht="30" customHeight="1">
      <x:c r="A52" s="4" t="str">
        <x:v>熟练度</x:v>
      </x:c>
      <x:c r="B52" s="4" t="str">
        <x:v>增长与收益</x:v>
      </x:c>
      <x:c r="C52" s="4" t="str">
        <x:v>后续按穿戴该核心且处于舰娘状态的时间成长；当前仅预留接口，增长速度、计时细则和收益均待定。</x:v>
      </x:c>
      <x:c r="D52" s="4" t="str">
        <x:v>待定</x:v>
      </x:c>
    </x:row>
    <x:row r="53" ht="15" customHeight="1">
      <x:c r="A53" s="4"/>
      <x:c r="B53" s="4"/>
      <x:c r="C53" s="4"/>
      <x:c r="D53" s="4"/>
    </x:row>
    <x:row r="54" ht="42" customHeight="1">
      <x:c r="A54" s="5" t="str">
        <x:v>舰装核心物品与规则</x:v>
      </x:c>
      <x:c r="B54" s="5" t="str">
        <x:v>核心物品层已实现（0.1.61）。RC01–RC24 覆盖范围及人工待验收项见方案；舰娘状态、GUI、熟练度增长与收益仍属后续。</x:v>
      </x:c>
      <x:c r="C54" s="5"/>
      <x:c r="D54" s="5"/>
    </x:row>
  </x:sheetData>
  <x:mergeCells>
    <x:mergeCell ref="B54:D54"/>
  </x:mergeCells>
  <x:dataValidations count="2">
    <x:dataValidation type="list" sqref="D2:D43">
      <x:formula1>"待开发,开发中,待验收,已实现"</x:formula1>
    </x:dataValidation>
    <x:dataValidation type="list" sqref="D44:D52">
      <x:formula1>"待定,待开发,开发中,待验收,已实现"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90ca1a09e640d2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20" hidden="0" customWidth="1"/>
    <x:col min="5" max="5" width="3" hidden="0" customWidth="1"/>
    <x:col min="6" max="6" width="76" hidden="0" customWidth="1"/>
    <x:col min="7" max="7" width="54" hidden="0" customWidth="1"/>
  </x:cols>
  <x:sheetData>
    <x:row r="1" ht="34" customHeight="1">
      <x:c r="A1" s="17" t="str">
        <x:v>中文舰名</x:v>
      </x:c>
      <x:c r="B1" s="17" t="str">
        <x:v>英文舰名</x:v>
      </x:c>
      <x:c r="C1" s="17" t="str">
        <x:v>舰R参考航速</x:v>
      </x:c>
      <x:c r="D1" s="17" t="str">
        <x:v>参考形态</x:v>
      </x:c>
      <x:c r="E1" s="4"/>
      <x:c r="F1" s="17" t="str">
        <x:v>资料链接</x:v>
      </x:c>
      <x:c r="G1" s="17" t="str">
        <x:v>身份与名称说明</x:v>
      </x:c>
    </x:row>
    <x:row r="2" ht="42" customHeight="1">
      <x:c r="A2" s="4" t="str">
        <x:v>列克星敦（CV-2）</x:v>
      </x:c>
      <x:c r="B2" s="4" t="str">
        <x:v>Lexington (CV-2)</x:v>
      </x:c>
      <x:c r="C2" s="8" t="n">
        <x:v>33.2</x:v>
      </x:c>
      <x:c r="D2" s="4" t="str">
        <x:v>常规图鉴</x:v>
      </x:c>
      <x:c r="E2" s="4"/>
      <x:c r="F2" s="4" t="str">
        <x:v>https://www.zjsnrwiki.com/wiki/列克星敦%28CV-2%29</x:v>
      </x:c>
      <x:c r="G2" s="4" t="str">
        <x:v>明确采用 CV-2；同名 CV-16 不在首批名单。</x:v>
      </x:c>
    </x:row>
    <x:row r="3" ht="42" customHeight="1">
      <x:c r="A3" s="4" t="str">
        <x:v>萨拉托加</x:v>
      </x:c>
      <x:c r="B3" s="4" t="str">
        <x:v>Saratoga</x:v>
      </x:c>
      <x:c r="C3" s="8" t="n">
        <x:v>33.2</x:v>
      </x:c>
      <x:c r="D3" s="4" t="str">
        <x:v>常规图鉴</x:v>
      </x:c>
      <x:c r="E3" s="4"/>
      <x:c r="F3" s="4" t="str">
        <x:v>https://www.zjsnrwiki.com/wiki/萨拉托加</x:v>
      </x:c>
      <x:c r="G3" s="4" t="str">
        <x:v>列克星敦级，英文省略 USS 前缀。</x:v>
      </x:c>
    </x:row>
    <x:row r="4" ht="42" customHeight="1">
      <x:c r="A4" s="4" t="str">
        <x:v>维托里奥·维内托</x:v>
      </x:c>
      <x:c r="B4" s="4" t="str">
        <x:v>Vittorio Veneto</x:v>
      </x:c>
      <x:c r="C4" s="8" t="n">
        <x:v>31</x:v>
      </x:c>
      <x:c r="D4" s="4" t="str">
        <x:v>常规图鉴</x:v>
      </x:c>
      <x:c r="E4" s="4"/>
      <x:c r="F4" s="4" t="str">
        <x:v>https://www.zjsnrwiki.com/wiki/维内托</x:v>
      </x:c>
      <x:c r="G4" s="4" t="str">
        <x:v>中文采用完整名；维内托为名单简称。</x:v>
      </x:c>
    </x:row>
    <x:row r="5" ht="42" customHeight="1">
      <x:c r="A5" s="4" t="str">
        <x:v>胡德</x:v>
      </x:c>
      <x:c r="B5" s="4" t="str">
        <x:v>Hood</x:v>
      </x:c>
      <x:c r="C5" s="8" t="n">
        <x:v>31</x:v>
      </x:c>
      <x:c r="D5" s="4" t="str">
        <x:v>常规图鉴</x:v>
      </x:c>
      <x:c r="E5" s="4"/>
      <x:c r="F5" s="4" t="str">
        <x:v>https://www.zjsnrwiki.com/wiki/胡德</x:v>
      </x:c>
      <x:c r="G5" s="4" t="str">
        <x:v>英文省略 HMS 前缀。</x:v>
      </x:c>
    </x:row>
    <x:row r="6" ht="42" customHeight="1">
      <x:c r="A6" s="4" t="str">
        <x:v>昆西</x:v>
      </x:c>
      <x:c r="B6" s="4" t="str">
        <x:v>Quincy</x:v>
      </x:c>
      <x:c r="C6" s="8" t="n">
        <x:v>32.7</x:v>
      </x:c>
      <x:c r="D6" s="4" t="str">
        <x:v>常规图鉴</x:v>
      </x:c>
      <x:c r="E6" s="4"/>
      <x:c r="F6" s="4" t="str">
        <x:v>https://www.zjsnrwiki.com/wiki/昆西</x:v>
      </x:c>
      <x:c r="G6" s="4" t="str">
        <x:v>采用新奥尔良级 CA-39 对应角色。</x:v>
      </x:c>
    </x:row>
    <x:row r="7" ht="42" customHeight="1">
      <x:c r="A7" s="4" t="str">
        <x:v>欧根亲王</x:v>
      </x:c>
      <x:c r="B7" s="4" t="str">
        <x:v>Prinz Eugen</x:v>
      </x:c>
      <x:c r="C7" s="8" t="n">
        <x:v>32</x:v>
      </x:c>
      <x:c r="D7" s="4" t="str">
        <x:v>常规图鉴</x:v>
      </x:c>
      <x:c r="E7" s="4"/>
      <x:c r="F7" s="4" t="str">
        <x:v>https://www.zjsnrwiki.com/wiki/欧根亲王</x:v>
      </x:c>
      <x:c r="G7" s="4" t="str">
        <x:v>中文采用完整名；英文使用德语舰名。</x:v>
      </x:c>
    </x:row>
    <x:row r="8" ht="42" customHeight="1">
      <x:c r="A8" s="4" t="str">
        <x:v>逸仙</x:v>
      </x:c>
      <x:c r="B8" s="4" t="str">
        <x:v>Yat Sen</x:v>
      </x:c>
      <x:c r="C8" s="8" t="n">
        <x:v>20</x:v>
      </x:c>
      <x:c r="D8" s="4" t="str">
        <x:v>常规图鉴</x:v>
      </x:c>
      <x:c r="E8" s="4"/>
      <x:c r="F8" s="4" t="str">
        <x:v>https://www.zjsnrwiki.com/wiki/逸仙</x:v>
      </x:c>
      <x:c r="G8" s="4" t="str">
        <x:v>英文采用舰R资料中的 Yat Sen 写法。</x:v>
      </x:c>
    </x:row>
    <x:row r="9" ht="42" customHeight="1">
      <x:c r="A9" s="4" t="str">
        <x:v>萤火虫</x:v>
      </x:c>
      <x:c r="B9" s="4" t="str">
        <x:v>Glowworm</x:v>
      </x:c>
      <x:c r="C9" s="8" t="n">
        <x:v>36</x:v>
      </x:c>
      <x:c r="D9" s="4" t="str">
        <x:v>常规图鉴</x:v>
      </x:c>
      <x:c r="E9" s="4"/>
      <x:c r="F9" s="4" t="str">
        <x:v>https://www.zjsnrwiki.com/wiki/萤火虫</x:v>
      </x:c>
      <x:c r="G9" s="4" t="str">
        <x:v>G 级驱逐舰角色，不是萤火虫舰载机。</x:v>
      </x:c>
    </x:row>
    <x:row r="10" ht="42" customHeight="1">
      <x:c r="A10" s="4" t="str">
        <x:v>长春</x:v>
      </x:c>
      <x:c r="B10" s="4" t="str">
        <x:v>Changchun</x:v>
      </x:c>
      <x:c r="C10" s="8" t="n">
        <x:v>39</x:v>
      </x:c>
      <x:c r="D10" s="4" t="str">
        <x:v>果敢改造后</x:v>
      </x:c>
      <x:c r="E10" s="4"/>
      <x:c r="F10" s="4" t="str">
        <x:v>https://www.zjsnrwiki.com/wiki/长春
https://warship-girls.fandom.com/wiki/Reshitelny</x:v>
      </x:c>
      <x:c r="G10" s="4" t="str">
        <x:v>采用中国舰船长春身份，通用舰种仍为驱逐。</x:v>
      </x:c>
    </x:row>
    <x:row r="11" ht="42" customHeight="1">
      <x:c r="A11" s="4" t="str">
        <x:v>U-47</x:v>
      </x:c>
      <x:c r="B11" s="4" t="str">
        <x:v>U-47</x:v>
      </x:c>
      <x:c r="C11" s="8" t="n">
        <x:v>18</x:v>
      </x:c>
      <x:c r="D11" s="4" t="str">
        <x:v>常规图鉴</x:v>
      </x:c>
      <x:c r="E11" s="4"/>
      <x:c r="F11" s="4" t="str">
        <x:v>https://www.zjsnrwiki.com/wiki/U-47</x:v>
      </x:c>
      <x:c r="G11" s="4" t="str">
        <x:v>中英文均保留连字符；当前只有一个航速字段。</x:v>
      </x:c>
    </x:row>
    <x:row r="12" ht="15" customHeight="1">
      <x:c r="A12" s="4"/>
      <x:c r="B12" s="4"/>
      <x:c r="C12" s="4"/>
      <x:c r="D12" s="4"/>
      <x:c r="E12" s="4"/>
      <x:c r="F12" s="4"/>
      <x:c r="G12" s="4"/>
    </x:row>
    <x:row r="13" ht="15" customHeight="1">
      <x:c r="A13" s="4"/>
      <x:c r="B13" s="4"/>
      <x:c r="C13" s="4"/>
      <x:c r="D13" s="4"/>
      <x:c r="E13" s="4"/>
      <x:c r="F13" s="4"/>
      <x:c r="G13" s="4"/>
    </x:row>
    <x:row r="14" ht="30" customHeight="1">
      <x:c r="A14" s="4" t="str">
        <x:v>其他依据</x:v>
      </x:c>
      <x:c r="B14" s="4"/>
      <x:c r="C14" s="4"/>
      <x:c r="D14" s="4"/>
      <x:c r="E14" s="4"/>
      <x:c r="F14" s="4"/>
      <x:c r="G14" s="4"/>
    </x:row>
    <x:row r="15" ht="42" customHeight="1">
      <x:c r="A15" s="5" t="str">
        <x:v>原始设计</x:v>
      </x:c>
      <x:c r="B15" s="5" t="str">
        <x:v>策划书 2.1.1，第 3–4 页</x:v>
      </x:c>
      <x:c r="C15" s="5"/>
      <x:c r="D15" s="5"/>
      <x:c r="E15" s="5"/>
      <x:c r="F15" s="5" t="str">
        <x:v>策划书.pdf</x:v>
      </x:c>
      <x:c r="G15" s="5" t="str">
        <x:v>原 PDF 保持原样，范围限定核心物品。</x:v>
      </x:c>
    </x:row>
    <x:row r="16" ht="42" customHeight="1">
      <x:c r="A16" s="5" t="str">
        <x:v>接口参考</x:v>
      </x:c>
      <x:c r="B16" s="5" t="str">
        <x:v>NeoForge 1.21.1 文档</x:v>
      </x:c>
      <x:c r="C16" s="5"/>
      <x:c r="D16" s="5"/>
      <x:c r="E16" s="5"/>
      <x:c r="F16" s="5" t="str">
        <x:v>https://docs.neoforged.net/docs/1.21.1/items/datacomponents/
https://docs.neoforged.net/docs/1.21.1/resources/server/tags/</x:v>
      </x:c>
      <x:c r="G16" s="5" t="str">
        <x:v>实现以本项目锁定的 NeoForge 21.1.259 源码为准。</x:v>
      </x:c>
    </x:row>
    <x:row r="17" ht="42" customHeight="1">
      <x:c r="A17" s="5" t="str">
        <x:v>名称补充</x:v>
      </x:c>
      <x:c r="B17" s="5" t="str">
        <x:v>舰艇中英文名对照</x:v>
      </x:c>
      <x:c r="C17" s="5"/>
      <x:c r="D17" s="5"/>
      <x:c r="E17" s="5"/>
      <x:c r="F17" s="5" t="str">
        <x:v>https://www.zjsnrwiki.com/wiki/舰艇徽章与格言收录</x:v>
      </x:c>
      <x:c r="G17" s="5" t="str">
        <x:v>英文省略 USS、HMS 等前缀；列克星敦保留 CV-2 区分同名舰。</x:v>
      </x:c>
    </x:row>
    <x:row r="18" ht="42" customHeight="1">
      <x:c r="A18" s="5" t="str">
        <x:v>参数性质</x:v>
      </x:c>
      <x:c r="B18" s="5" t="str">
        <x:v>首轮调试参数</x:v>
      </x:c>
      <x:c r="C18" s="5"/>
      <x:c r="D18" s="5"/>
      <x:c r="E18" s="5"/>
      <x:c r="F18" s="5" t="str">
        <x:v>2.1.1-舰装核心-实现方案.md</x:v>
      </x:c>
      <x:c r="G18" s="5" t="str">
        <x:v>核心物品层已实现（0.1.61）；成长与收益仍待定，工作簿不会自动导入游戏。</x:v>
      </x:c>
    </x:row>
    <x:row r="19" ht="42" customHeight="1">
      <x:c r="A19" s="5" t="str">
        <x:v>模型参考</x:v>
      </x:c>
      <x:c r="B19" s="5" t="str">
        <x:v>NeoForge 1.21.1 模型</x:v>
      </x:c>
      <x:c r="C19" s="5"/>
      <x:c r="D19" s="5"/>
      <x:c r="E19" s="5"/>
      <x:c r="F19" s="5" t="str">
        <x:v>https://docs.neoforged.net/docs/1.21.1/resources/client/models/#overrides</x:v>
      </x:c>
      <x:c r="G19" s="5" t="str">
        <x:v>自定义物品模型属性与 overrides 按核心身份选择舰船子模型，注册仅在客户端执行。</x:v>
      </x:c>
    </x:row>
    <x:row r="20" ht="15" customHeight="1">
      <x:c r="A20" s="4"/>
      <x:c r="B20" s="4"/>
      <x:c r="C20" s="4"/>
      <x:c r="D20" s="4"/>
      <x:c r="E20" s="4"/>
      <x:c r="F20" s="4"/>
      <x:c r="G20" s="4"/>
    </x:row>
    <x:row r="21" ht="42" customHeight="1">
      <x:c r="A21" s="5" t="str">
        <x:v>舰名与航速参考资料</x:v>
      </x:c>
      <x:c r="B21" s="5" t="str">
        <x:v>查询日期 2026-10-24。此页为外部参考输入，耐久与装甲采用本模组设计值。</x:v>
      </x:c>
      <x:c r="C21" s="5"/>
      <x:c r="D21" s="5"/>
      <x:c r="E21" s="5"/>
      <x:c r="F21" s="5"/>
      <x:c r="G21" s="5"/>
    </x:row>
  </x:sheetData>
  <x:mergeCells>
    <x:mergeCell ref="B21:G21"/>
  </x:mergeCells>
  <x:pageMargins left="0.7" right="0.7" top="0.75" bottom="0.75" header="0.3" footer="0.3"/>
  <x:tableParts count="1">
    <x:tablePart xmlns:r="http://schemas.openxmlformats.org/officeDocument/2006/relationships" r:id="R0a9ffbdbf6fa4fdb"/>
  </x:tableParts>
</x:worksheet>
</file>